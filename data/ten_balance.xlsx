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규칙상수" sheetId="1" state="visible" r:id="rId3"/>
    <sheet name="크리처" sheetId="2" state="visible" r:id="rId4"/>
    <sheet name="스펠" sheetId="3" state="visible" r:id="rId5"/>
    <sheet name="인챈트" sheetId="4" state="visible" r:id="rId6"/>
    <sheet name="덱검산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<sst xmlns="http://schemas.openxmlformats.org/spreadsheetml/2006/main" count="234" uniqueCount="192">
  <si>
    <r>
      <rPr>
        <b val="true"/>
        <sz val="13"/>
        <rFont val="Arial"/>
        <family val="0"/>
        <charset val="1"/>
      </rPr>
      <t xml:space="preserve">TEN — </t>
    </r>
    <r>
      <rPr>
        <b val="true"/>
        <sz val="13"/>
        <rFont val="Noto Sans CJK SC"/>
        <family val="2"/>
      </rPr>
      <t xml:space="preserve">규칙 상수 및 예산 공식</t>
    </r>
  </si>
  <si>
    <r>
      <rPr>
        <i val="true"/>
        <sz val="9"/>
        <color rgb="FF666666"/>
        <rFont val="Noto Sans CJK SC"/>
        <family val="2"/>
      </rPr>
      <t xml:space="preserve">파란 글씨 </t>
    </r>
    <r>
      <rPr>
        <i val="true"/>
        <sz val="9"/>
        <color rgb="FF666666"/>
        <rFont val="Arial"/>
        <family val="0"/>
        <charset val="1"/>
      </rPr>
      <t xml:space="preserve">= </t>
    </r>
    <r>
      <rPr>
        <i val="true"/>
        <sz val="9"/>
        <color rgb="FF666666"/>
        <rFont val="Noto Sans CJK SC"/>
        <family val="2"/>
      </rPr>
      <t xml:space="preserve">직접 수정하는 값 </t>
    </r>
    <r>
      <rPr>
        <i val="true"/>
        <sz val="9"/>
        <color rgb="FF666666"/>
        <rFont val="Arial"/>
        <family val="0"/>
        <charset val="1"/>
      </rPr>
      <t xml:space="preserve">/ </t>
    </r>
    <r>
      <rPr>
        <i val="true"/>
        <sz val="9"/>
        <color rgb="FF666666"/>
        <rFont val="Noto Sans CJK SC"/>
        <family val="2"/>
      </rPr>
      <t xml:space="preserve">검은 글씨 </t>
    </r>
    <r>
      <rPr>
        <i val="true"/>
        <sz val="9"/>
        <color rgb="FF666666"/>
        <rFont val="Arial"/>
        <family val="0"/>
        <charset val="1"/>
      </rPr>
      <t xml:space="preserve">= </t>
    </r>
    <r>
      <rPr>
        <i val="true"/>
        <sz val="9"/>
        <color rgb="FF666666"/>
        <rFont val="Noto Sans CJK SC"/>
        <family val="2"/>
      </rPr>
      <t xml:space="preserve">수식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이 시트의 값만 바꾸면 전 시트가 재계산됩니다</t>
    </r>
    <r>
      <rPr>
        <i val="true"/>
        <sz val="9"/>
        <color rgb="FF666666"/>
        <rFont val="Arial"/>
        <family val="0"/>
        <charset val="1"/>
      </rPr>
      <t xml:space="preserve">.</t>
    </r>
  </si>
  <si>
    <t xml:space="preserve">게임 상수</t>
  </si>
  <si>
    <r>
      <rPr>
        <sz val="10"/>
        <rFont val="Noto Sans CJK SC"/>
        <family val="2"/>
      </rPr>
      <t xml:space="preserve">시작 </t>
    </r>
    <r>
      <rPr>
        <sz val="10"/>
        <rFont val="Arial"/>
        <family val="0"/>
        <charset val="1"/>
      </rPr>
      <t xml:space="preserve">HP</t>
    </r>
  </si>
  <si>
    <t xml:space="preserve">플레이어 시작 체력</t>
  </si>
  <si>
    <t xml:space="preserve">마나 상한</t>
  </si>
  <si>
    <r>
      <rPr>
        <i val="true"/>
        <sz val="9"/>
        <color rgb="FF666666"/>
        <rFont val="Noto Sans CJK SC"/>
        <family val="2"/>
      </rPr>
      <t xml:space="preserve">매 턴 </t>
    </r>
    <r>
      <rPr>
        <i val="true"/>
        <sz val="9"/>
        <color rgb="FF666666"/>
        <rFont val="Arial"/>
        <family val="0"/>
        <charset val="1"/>
      </rPr>
      <t xml:space="preserve">1</t>
    </r>
    <r>
      <rPr>
        <i val="true"/>
        <sz val="9"/>
        <color rgb="FF666666"/>
        <rFont val="Noto Sans CJK SC"/>
        <family val="2"/>
      </rPr>
      <t xml:space="preserve">씩 충전</t>
    </r>
    <r>
      <rPr>
        <i val="true"/>
        <sz val="9"/>
        <color rgb="FF666666"/>
        <rFont val="Arial"/>
        <family val="0"/>
        <charset val="1"/>
      </rPr>
      <t xml:space="preserve">, </t>
    </r>
    <r>
      <rPr>
        <i val="true"/>
        <sz val="9"/>
        <color rgb="FF666666"/>
        <rFont val="Noto Sans CJK SC"/>
        <family val="2"/>
      </rPr>
      <t xml:space="preserve">이 값에서 고정</t>
    </r>
  </si>
  <si>
    <t xml:space="preserve">보드 슬롯</t>
  </si>
  <si>
    <t xml:space="preserve">크리처와 인챈트가 공유</t>
  </si>
  <si>
    <t xml:space="preserve">스택 상한</t>
  </si>
  <si>
    <t xml:space="preserve">동명 크리처 최대 중첩 수</t>
  </si>
  <si>
    <t xml:space="preserve">덱 사이즈</t>
  </si>
  <si>
    <t xml:space="preserve">소진 시 매 턴 누적 피해</t>
  </si>
  <si>
    <t xml:space="preserve">예산 공식 계수</t>
  </si>
  <si>
    <t xml:space="preserve">P = a×n + b + (n−1)² × k</t>
  </si>
  <si>
    <r>
      <rPr>
        <sz val="10"/>
        <rFont val="Arial"/>
        <family val="0"/>
        <charset val="1"/>
      </rPr>
      <t xml:space="preserve">a (</t>
    </r>
    <r>
      <rPr>
        <sz val="10"/>
        <rFont val="Noto Sans CJK SC"/>
        <family val="2"/>
      </rPr>
      <t xml:space="preserve">선형 계수</t>
    </r>
    <r>
      <rPr>
        <sz val="10"/>
        <rFont val="Arial"/>
        <family val="0"/>
        <charset val="1"/>
      </rPr>
      <t xml:space="preserve">)</t>
    </r>
  </si>
  <si>
    <t xml:space="preserve">코스트당 기본 증가분</t>
  </si>
  <si>
    <r>
      <rPr>
        <sz val="10"/>
        <rFont val="Arial"/>
        <family val="0"/>
        <charset val="1"/>
      </rPr>
      <t xml:space="preserve">b (</t>
    </r>
    <r>
      <rPr>
        <sz val="10"/>
        <rFont val="Noto Sans CJK SC"/>
        <family val="2"/>
      </rPr>
      <t xml:space="preserve">기본값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</si>
  <si>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666666"/>
        <rFont val="Arial"/>
        <family val="0"/>
        <charset val="1"/>
      </rPr>
      <t xml:space="preserve">1</t>
    </r>
    <r>
      <rPr>
        <i val="true"/>
        <sz val="9"/>
        <color rgb="FF666666"/>
        <rFont val="Noto Sans CJK SC"/>
        <family val="2"/>
      </rPr>
      <t xml:space="preserve">코스트 기준선</t>
    </r>
  </si>
  <si>
    <r>
      <rPr>
        <sz val="10"/>
        <rFont val="Arial"/>
        <family val="0"/>
        <charset val="1"/>
      </rPr>
      <t xml:space="preserve">k (</t>
    </r>
    <r>
      <rPr>
        <sz val="10"/>
        <rFont val="Noto Sans CJK SC"/>
        <family val="2"/>
      </rPr>
      <t xml:space="preserve">지수 계수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</si>
  <si>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666666"/>
        <rFont val="Noto Sans CJK SC"/>
        <family val="2"/>
      </rPr>
      <t xml:space="preserve">후반 결정력 강도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올리면 고코스트가 강해짐</t>
    </r>
  </si>
  <si>
    <r>
      <rPr>
        <sz val="10"/>
        <rFont val="Noto Sans CJK SC"/>
        <family val="2"/>
      </rPr>
      <t xml:space="preserve">인챈트 </t>
    </r>
    <r>
      <rPr>
        <sz val="10"/>
        <rFont val="Arial"/>
        <family val="0"/>
        <charset val="1"/>
      </rPr>
      <t xml:space="preserve">a</t>
    </r>
  </si>
  <si>
    <r>
      <rPr>
        <i val="true"/>
        <sz val="9"/>
        <color rgb="FF666666"/>
        <rFont val="Noto Sans CJK SC"/>
        <family val="2"/>
      </rPr>
      <t xml:space="preserve">인챈트 총산출 </t>
    </r>
    <r>
      <rPr>
        <i val="true"/>
        <sz val="9"/>
        <color rgb="FF666666"/>
        <rFont val="Arial"/>
        <family val="0"/>
        <charset val="1"/>
      </rPr>
      <t xml:space="preserve">T</t>
    </r>
    <r>
      <rPr>
        <i val="true"/>
        <sz val="9"/>
        <color rgb="FF666666"/>
        <rFont val="Noto Sans CJK SC"/>
        <family val="2"/>
      </rPr>
      <t xml:space="preserve">의 선형 계수</t>
    </r>
  </si>
  <si>
    <r>
      <rPr>
        <sz val="10"/>
        <rFont val="Noto Sans CJK SC"/>
        <family val="2"/>
      </rPr>
      <t xml:space="preserve">인챈트 </t>
    </r>
    <r>
      <rPr>
        <sz val="10"/>
        <rFont val="Arial"/>
        <family val="0"/>
        <charset val="1"/>
      </rPr>
      <t xml:space="preserve">b</t>
    </r>
  </si>
  <si>
    <t xml:space="preserve">인챈트 기본값</t>
  </si>
  <si>
    <t xml:space="preserve">태그별 가중치</t>
  </si>
  <si>
    <t xml:space="preserve">태그</t>
  </si>
  <si>
    <r>
      <rPr>
        <b val="true"/>
        <sz val="10"/>
        <color rgb="FFFFFFFF"/>
        <rFont val="Arial"/>
        <family val="0"/>
        <charset val="1"/>
      </rPr>
      <t xml:space="preserve">ATK </t>
    </r>
    <r>
      <rPr>
        <b val="true"/>
        <sz val="10"/>
        <color rgb="FFFFFFFF"/>
        <rFont val="Noto Sans CJK SC"/>
        <family val="2"/>
      </rPr>
      <t xml:space="preserve">가중</t>
    </r>
  </si>
  <si>
    <r>
      <rPr>
        <b val="true"/>
        <sz val="10"/>
        <color rgb="FFFFFFFF"/>
        <rFont val="Arial"/>
        <family val="0"/>
        <charset val="1"/>
      </rPr>
      <t xml:space="preserve">HP </t>
    </r>
    <r>
      <rPr>
        <b val="true"/>
        <sz val="10"/>
        <color rgb="FFFFFFFF"/>
        <rFont val="Noto Sans CJK SC"/>
        <family val="2"/>
      </rPr>
      <t xml:space="preserve">가중</t>
    </r>
  </si>
  <si>
    <t xml:space="preserve">예산 보정</t>
  </si>
  <si>
    <t xml:space="preserve">설계 의도</t>
  </si>
  <si>
    <t xml:space="preserve">일반</t>
  </si>
  <si>
    <r>
      <rPr>
        <sz val="10"/>
        <rFont val="Arial"/>
        <family val="0"/>
        <charset val="1"/>
      </rPr>
      <t xml:space="preserve">ATK</t>
    </r>
    <r>
      <rPr>
        <sz val="10"/>
        <rFont val="Noto Sans CJK SC"/>
        <family val="2"/>
      </rPr>
      <t xml:space="preserve">가 누적되므로 </t>
    </r>
    <r>
      <rPr>
        <sz val="10"/>
        <rFont val="Arial"/>
        <family val="0"/>
        <charset val="1"/>
      </rPr>
      <t xml:space="preserve">HP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배 가치</t>
    </r>
  </si>
  <si>
    <t xml:space="preserve">수호</t>
  </si>
  <si>
    <r>
      <rPr>
        <sz val="10"/>
        <rFont val="Arial"/>
        <family val="0"/>
        <charset val="1"/>
      </rPr>
      <t xml:space="preserve">HP</t>
    </r>
    <r>
      <rPr>
        <sz val="10"/>
        <rFont val="Noto Sans CJK SC"/>
        <family val="2"/>
      </rPr>
      <t xml:space="preserve">가 흡수 자원을 겸함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예산 </t>
    </r>
    <r>
      <rPr>
        <sz val="10"/>
        <rFont val="Arial"/>
        <family val="0"/>
        <charset val="1"/>
      </rPr>
      <t xml:space="preserve">+2</t>
    </r>
    <r>
      <rPr>
        <sz val="10"/>
        <rFont val="Noto Sans CJK SC"/>
        <family val="2"/>
      </rPr>
      <t xml:space="preserve">로 튼튼하게</t>
    </r>
  </si>
  <si>
    <t xml:space="preserve">비행</t>
  </si>
  <si>
    <t xml:space="preserve">수호가 흔한 환경에서 확정 페이스 딜</t>
  </si>
  <si>
    <t xml:space="preserve">비행수호</t>
  </si>
  <si>
    <t xml:space="preserve">잠정치 — 실플레이 검증 필요</t>
  </si>
  <si>
    <r>
      <rPr>
        <b val="true"/>
        <sz val="10"/>
        <rFont val="Noto Sans CJK SC"/>
        <family val="2"/>
      </rPr>
      <t xml:space="preserve">코스트별 예산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자동 계산</t>
    </r>
    <r>
      <rPr>
        <b val="true"/>
        <sz val="10"/>
        <rFont val="Arial"/>
        <family val="0"/>
        <charset val="1"/>
      </rPr>
      <t xml:space="preserve">)</t>
    </r>
  </si>
  <si>
    <t xml:space="preserve">코스트</t>
  </si>
  <si>
    <r>
      <rPr>
        <b val="true"/>
        <sz val="10"/>
        <color rgb="FFFFFFFF"/>
        <rFont val="Noto Sans CJK SC"/>
        <family val="2"/>
      </rPr>
      <t xml:space="preserve">크리처 </t>
    </r>
    <r>
      <rPr>
        <b val="true"/>
        <sz val="10"/>
        <color rgb="FFFFFFFF"/>
        <rFont val="Arial"/>
        <family val="0"/>
        <charset val="1"/>
      </rPr>
      <t xml:space="preserve">P</t>
    </r>
  </si>
  <si>
    <t xml:space="preserve">마나당 효율</t>
  </si>
  <si>
    <r>
      <rPr>
        <b val="true"/>
        <sz val="10"/>
        <color rgb="FFFFFFFF"/>
        <rFont val="Noto Sans CJK SC"/>
        <family val="2"/>
      </rPr>
      <t xml:space="preserve">인챈트 </t>
    </r>
    <r>
      <rPr>
        <b val="true"/>
        <sz val="10"/>
        <color rgb="FFFFFFFF"/>
        <rFont val="Arial"/>
        <family val="0"/>
        <charset val="1"/>
      </rPr>
      <t xml:space="preserve">T</t>
    </r>
  </si>
  <si>
    <t xml:space="preserve">비고</t>
  </si>
  <si>
    <t xml:space="preserve">기반</t>
  </si>
  <si>
    <t xml:space="preserve">전환점</t>
  </si>
  <si>
    <t xml:space="preserve">가속</t>
  </si>
  <si>
    <t xml:space="preserve">결정력 구간</t>
  </si>
  <si>
    <r>
      <rPr>
        <b val="true"/>
        <sz val="10"/>
        <rFont val="Noto Sans CJK SC"/>
        <family val="2"/>
      </rPr>
      <t xml:space="preserve">스펠 기준 티어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직접 입력</t>
    </r>
    <r>
      <rPr>
        <b val="true"/>
        <sz val="10"/>
        <rFont val="Arial"/>
        <family val="0"/>
        <charset val="1"/>
      </rPr>
      <t xml:space="preserve">)</t>
    </r>
  </si>
  <si>
    <r>
      <rPr>
        <i val="true"/>
        <sz val="9"/>
        <color rgb="FF666666"/>
        <rFont val="Noto Sans CJK SC"/>
        <family val="2"/>
      </rPr>
      <t xml:space="preserve">기준</t>
    </r>
    <r>
      <rPr>
        <i val="true"/>
        <sz val="9"/>
        <color rgb="FF666666"/>
        <rFont val="Arial"/>
        <family val="0"/>
        <charset val="1"/>
      </rPr>
      <t xml:space="preserve">: </t>
    </r>
    <r>
      <rPr>
        <i val="true"/>
        <sz val="9"/>
        <color rgb="FF666666"/>
        <rFont val="Noto Sans CJK SC"/>
        <family val="2"/>
      </rPr>
      <t xml:space="preserve">자기 코스트 </t>
    </r>
    <r>
      <rPr>
        <i val="true"/>
        <sz val="9"/>
        <color rgb="FF666666"/>
        <rFont val="Arial"/>
        <family val="0"/>
        <charset val="1"/>
      </rPr>
      <t xml:space="preserve">+1 </t>
    </r>
    <r>
      <rPr>
        <i val="true"/>
        <sz val="9"/>
        <color rgb="FF666666"/>
        <rFont val="Noto Sans CJK SC"/>
        <family val="2"/>
      </rPr>
      <t xml:space="preserve">등급 크리처까지 처치 가능</t>
    </r>
  </si>
  <si>
    <t xml:space="preserve">단일 제거</t>
  </si>
  <si>
    <t xml:space="preserve">광역</t>
  </si>
  <si>
    <t xml:space="preserve">직접 피해</t>
  </si>
  <si>
    <t xml:space="preserve">직접 피해는 수호 무시</t>
  </si>
  <si>
    <r>
      <rPr>
        <i val="true"/>
        <sz val="9"/>
        <color rgb="FF666666"/>
        <rFont val="Arial"/>
        <family val="0"/>
        <charset val="1"/>
      </rPr>
      <t xml:space="preserve">6</t>
    </r>
    <r>
      <rPr>
        <i val="true"/>
        <sz val="9"/>
        <color rgb="FF666666"/>
        <rFont val="Noto Sans CJK SC"/>
        <family val="2"/>
      </rPr>
      <t xml:space="preserve">코 단일은 무조건 파괴</t>
    </r>
  </si>
  <si>
    <t xml:space="preserve">크리처 카드 데이터</t>
  </si>
  <si>
    <r>
      <rPr>
        <i val="true"/>
        <sz val="9"/>
        <color rgb="FF666666"/>
        <rFont val="Arial"/>
        <family val="0"/>
        <charset val="1"/>
      </rPr>
      <t xml:space="preserve">ATK / HP / </t>
    </r>
    <r>
      <rPr>
        <i val="true"/>
        <sz val="9"/>
        <color rgb="FF666666"/>
        <rFont val="Noto Sans CJK SC"/>
        <family val="2"/>
      </rPr>
      <t xml:space="preserve">매수만 입력하면 예산 검산이 자동으로 붙습니다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판정이 </t>
    </r>
    <r>
      <rPr>
        <i val="true"/>
        <sz val="9"/>
        <color rgb="FF666666"/>
        <rFont val="Arial"/>
        <family val="0"/>
        <charset val="1"/>
      </rPr>
      <t xml:space="preserve">'</t>
    </r>
    <r>
      <rPr>
        <i val="true"/>
        <sz val="9"/>
        <color rgb="FF666666"/>
        <rFont val="Noto Sans CJK SC"/>
        <family val="2"/>
      </rPr>
      <t xml:space="preserve">초과</t>
    </r>
    <r>
      <rPr>
        <i val="true"/>
        <sz val="9"/>
        <color rgb="FF666666"/>
        <rFont val="Arial"/>
        <family val="0"/>
        <charset val="1"/>
      </rPr>
      <t xml:space="preserve">'</t>
    </r>
    <r>
      <rPr>
        <i val="true"/>
        <sz val="9"/>
        <color rgb="FF666666"/>
        <rFont val="Noto Sans CJK SC"/>
        <family val="2"/>
      </rPr>
      <t xml:space="preserve">면 너무 강한 카드입니다</t>
    </r>
    <r>
      <rPr>
        <i val="true"/>
        <sz val="9"/>
        <color rgb="FF666666"/>
        <rFont val="Arial"/>
        <family val="0"/>
        <charset val="1"/>
      </rPr>
      <t xml:space="preserve">.</t>
    </r>
  </si>
  <si>
    <t xml:space="preserve">ID</t>
  </si>
  <si>
    <t xml:space="preserve">카드명</t>
  </si>
  <si>
    <t xml:space="preserve">ATK</t>
  </si>
  <si>
    <t xml:space="preserve">HP</t>
  </si>
  <si>
    <t xml:space="preserve">덱 매수</t>
  </si>
  <si>
    <r>
      <rPr>
        <b val="true"/>
        <sz val="10"/>
        <color rgb="FFFFFFFF"/>
        <rFont val="Noto Sans CJK SC"/>
        <family val="2"/>
      </rPr>
      <t xml:space="preserve">소모 </t>
    </r>
    <r>
      <rPr>
        <b val="true"/>
        <sz val="10"/>
        <color rgb="FFFFFFFF"/>
        <rFont val="Arial"/>
        <family val="0"/>
        <charset val="1"/>
      </rPr>
      <t xml:space="preserve">P</t>
    </r>
  </si>
  <si>
    <r>
      <rPr>
        <b val="true"/>
        <sz val="10"/>
        <color rgb="FFFFFFFF"/>
        <rFont val="Noto Sans CJK SC"/>
        <family val="2"/>
      </rPr>
      <t xml:space="preserve">예산 </t>
    </r>
    <r>
      <rPr>
        <b val="true"/>
        <sz val="10"/>
        <color rgb="FFFFFFFF"/>
        <rFont val="Arial"/>
        <family val="0"/>
        <charset val="1"/>
      </rPr>
      <t xml:space="preserve">P</t>
    </r>
  </si>
  <si>
    <t xml:space="preserve">편차</t>
  </si>
  <si>
    <t xml:space="preserve">판정</t>
  </si>
  <si>
    <t xml:space="preserve">설계 메모</t>
  </si>
  <si>
    <t xml:space="preserve">CR01</t>
  </si>
  <si>
    <t xml:space="preserve">파수병</t>
  </si>
  <si>
    <r>
      <rPr>
        <i val="true"/>
        <sz val="9"/>
        <color rgb="FF666666"/>
        <rFont val="Arial"/>
        <family val="0"/>
        <charset val="1"/>
      </rPr>
      <t xml:space="preserve">1</t>
    </r>
    <r>
      <rPr>
        <i val="true"/>
        <sz val="9"/>
        <color rgb="FF666666"/>
        <rFont val="Noto Sans CJK SC"/>
        <family val="2"/>
      </rPr>
      <t xml:space="preserve">코 스택 주력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흡수 </t>
    </r>
    <r>
      <rPr>
        <i val="true"/>
        <sz val="9"/>
        <color rgb="FF666666"/>
        <rFont val="Arial"/>
        <family val="0"/>
        <charset val="1"/>
      </rPr>
      <t xml:space="preserve">1</t>
    </r>
    <r>
      <rPr>
        <i val="true"/>
        <sz val="9"/>
        <color rgb="FF666666"/>
        <rFont val="Noto Sans CJK SC"/>
        <family val="2"/>
      </rPr>
      <t xml:space="preserve">회 </t>
    </r>
    <r>
      <rPr>
        <i val="true"/>
        <sz val="9"/>
        <color rgb="FF666666"/>
        <rFont val="Arial"/>
        <family val="0"/>
        <charset val="1"/>
      </rPr>
      <t xml:space="preserve">× 5</t>
    </r>
    <r>
      <rPr>
        <i val="true"/>
        <sz val="9"/>
        <color rgb="FF666666"/>
        <rFont val="Noto Sans CJK SC"/>
        <family val="2"/>
      </rPr>
      <t xml:space="preserve">중첩 가능</t>
    </r>
  </si>
  <si>
    <t xml:space="preserve">CR02</t>
  </si>
  <si>
    <t xml:space="preserve">잔날개</t>
  </si>
  <si>
    <t xml:space="preserve">초반 페이스 확보용</t>
  </si>
  <si>
    <t xml:space="preserve">CR03</t>
  </si>
  <si>
    <t xml:space="preserve">방벽병</t>
  </si>
  <si>
    <t xml:space="preserve">중첩 시 딜도 누적되는 벽</t>
  </si>
  <si>
    <t xml:space="preserve">CR04</t>
  </si>
  <si>
    <t xml:space="preserve">검사</t>
  </si>
  <si>
    <t xml:space="preserve">커브 기본값</t>
  </si>
  <si>
    <t xml:space="preserve">CR05</t>
  </si>
  <si>
    <t xml:space="preserve">전투매</t>
  </si>
  <si>
    <t xml:space="preserve">저코스트 우회 딜</t>
  </si>
  <si>
    <t xml:space="preserve">CR06</t>
  </si>
  <si>
    <t xml:space="preserve">석벽</t>
  </si>
  <si>
    <r>
      <rPr>
        <i val="true"/>
        <sz val="9"/>
        <color rgb="FF666666"/>
        <rFont val="Noto Sans CJK SC"/>
        <family val="2"/>
      </rPr>
      <t xml:space="preserve">단일 제거 </t>
    </r>
    <r>
      <rPr>
        <i val="true"/>
        <sz val="9"/>
        <color rgb="FF666666"/>
        <rFont val="Arial"/>
        <family val="0"/>
        <charset val="1"/>
      </rPr>
      <t xml:space="preserve">3</t>
    </r>
    <r>
      <rPr>
        <i val="true"/>
        <sz val="9"/>
        <color rgb="FF666666"/>
        <rFont val="Noto Sans CJK SC"/>
        <family val="2"/>
      </rPr>
      <t xml:space="preserve">코로는 못 잡음</t>
    </r>
  </si>
  <si>
    <t xml:space="preserve">CR07</t>
  </si>
  <si>
    <t xml:space="preserve">창병</t>
  </si>
  <si>
    <r>
      <rPr>
        <i val="true"/>
        <sz val="9"/>
        <color rgb="FF666666"/>
        <rFont val="Arial"/>
        <family val="0"/>
        <charset val="1"/>
      </rPr>
      <t xml:space="preserve">3</t>
    </r>
    <r>
      <rPr>
        <i val="true"/>
        <sz val="9"/>
        <color rgb="FF666666"/>
        <rFont val="Noto Sans CJK SC"/>
        <family val="2"/>
      </rPr>
      <t xml:space="preserve">코 최대 딜</t>
    </r>
  </si>
  <si>
    <t xml:space="preserve">CR08</t>
  </si>
  <si>
    <t xml:space="preserve">그리핀</t>
  </si>
  <si>
    <t xml:space="preserve">수호 덱 상대 핵심</t>
  </si>
  <si>
    <t xml:space="preserve">CR09</t>
  </si>
  <si>
    <t xml:space="preserve">기사</t>
  </si>
  <si>
    <t xml:space="preserve">중반 전환점</t>
  </si>
  <si>
    <t xml:space="preserve">CR10</t>
  </si>
  <si>
    <t xml:space="preserve">와이번</t>
  </si>
  <si>
    <r>
      <rPr>
        <i val="true"/>
        <sz val="9"/>
        <color rgb="FF666666"/>
        <rFont val="Noto Sans CJK SC"/>
        <family val="2"/>
      </rPr>
      <t xml:space="preserve">유리대포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저코스트 제거에 취약</t>
    </r>
  </si>
  <si>
    <t xml:space="preserve">CR11</t>
  </si>
  <si>
    <t xml:space="preserve">장군</t>
  </si>
  <si>
    <r>
      <rPr>
        <i val="true"/>
        <sz val="9"/>
        <color rgb="FF666666"/>
        <rFont val="Arial"/>
        <family val="0"/>
        <charset val="1"/>
      </rPr>
      <t xml:space="preserve">5</t>
    </r>
    <r>
      <rPr>
        <i val="true"/>
        <sz val="9"/>
        <color rgb="FF666666"/>
        <rFont val="Noto Sans CJK SC"/>
        <family val="2"/>
      </rPr>
      <t xml:space="preserve">코 피니셔 후보</t>
    </r>
  </si>
  <si>
    <t xml:space="preserve">CR12</t>
  </si>
  <si>
    <t xml:space="preserve">파괴자</t>
  </si>
  <si>
    <r>
      <rPr>
        <i val="true"/>
        <sz val="9"/>
        <color rgb="FF666666"/>
        <rFont val="Noto Sans CJK SC"/>
        <family val="2"/>
      </rPr>
      <t xml:space="preserve">결정력 카드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대응은 </t>
    </r>
    <r>
      <rPr>
        <i val="true"/>
        <sz val="9"/>
        <color rgb="FF666666"/>
        <rFont val="Arial"/>
        <family val="0"/>
        <charset val="1"/>
      </rPr>
      <t xml:space="preserve">5</t>
    </r>
    <r>
      <rPr>
        <i val="true"/>
        <sz val="9"/>
        <color rgb="FF666666"/>
        <rFont val="Noto Sans CJK SC"/>
        <family val="2"/>
      </rPr>
      <t xml:space="preserve">코 소멸뿐</t>
    </r>
  </si>
  <si>
    <r>
      <rPr>
        <b val="true"/>
        <sz val="10"/>
        <rFont val="Noto Sans CJK SC"/>
        <family val="2"/>
      </rPr>
      <t xml:space="preserve">합계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비율</t>
    </r>
  </si>
  <si>
    <t xml:space="preserve">수호 비중</t>
  </si>
  <si>
    <r>
      <rPr>
        <i val="true"/>
        <sz val="9"/>
        <color rgb="FF666666"/>
        <rFont val="Noto Sans CJK SC"/>
        <family val="2"/>
      </rPr>
      <t xml:space="preserve">목표 </t>
    </r>
    <r>
      <rPr>
        <i val="true"/>
        <sz val="9"/>
        <color rgb="FF666666"/>
        <rFont val="Arial"/>
        <family val="0"/>
        <charset val="1"/>
      </rPr>
      <t xml:space="preserve">35~40%</t>
    </r>
  </si>
  <si>
    <t xml:space="preserve">비행 비중</t>
  </si>
  <si>
    <r>
      <rPr>
        <i val="true"/>
        <sz val="9"/>
        <color rgb="FF666666"/>
        <rFont val="Noto Sans CJK SC"/>
        <family val="2"/>
      </rPr>
      <t xml:space="preserve">목표 </t>
    </r>
    <r>
      <rPr>
        <i val="true"/>
        <sz val="9"/>
        <color rgb="FF666666"/>
        <rFont val="Arial"/>
        <family val="0"/>
        <charset val="1"/>
      </rPr>
      <t xml:space="preserve">8~10%</t>
    </r>
  </si>
  <si>
    <t xml:space="preserve">스펠 카드 데이터</t>
  </si>
  <si>
    <r>
      <rPr>
        <i val="true"/>
        <sz val="9"/>
        <color rgb="FF666666"/>
        <rFont val="Noto Sans CJK SC"/>
        <family val="2"/>
      </rPr>
      <t xml:space="preserve">분류</t>
    </r>
    <r>
      <rPr>
        <i val="true"/>
        <sz val="9"/>
        <color rgb="FF666666"/>
        <rFont val="Arial"/>
        <family val="0"/>
        <charset val="1"/>
      </rPr>
      <t xml:space="preserve">: </t>
    </r>
    <r>
      <rPr>
        <i val="true"/>
        <sz val="9"/>
        <color rgb="FF666666"/>
        <rFont val="Noto Sans CJK SC"/>
        <family val="2"/>
      </rPr>
      <t xml:space="preserve">단일 </t>
    </r>
    <r>
      <rPr>
        <i val="true"/>
        <sz val="9"/>
        <color rgb="FF666666"/>
        <rFont val="Arial"/>
        <family val="0"/>
        <charset val="1"/>
      </rPr>
      <t xml:space="preserve">/ </t>
    </r>
    <r>
      <rPr>
        <i val="true"/>
        <sz val="9"/>
        <color rgb="FF666666"/>
        <rFont val="Noto Sans CJK SC"/>
        <family val="2"/>
      </rPr>
      <t xml:space="preserve">광역 </t>
    </r>
    <r>
      <rPr>
        <i val="true"/>
        <sz val="9"/>
        <color rgb="FF666666"/>
        <rFont val="Arial"/>
        <family val="0"/>
        <charset val="1"/>
      </rPr>
      <t xml:space="preserve">/ </t>
    </r>
    <r>
      <rPr>
        <i val="true"/>
        <sz val="9"/>
        <color rgb="FF666666"/>
        <rFont val="Noto Sans CJK SC"/>
        <family val="2"/>
      </rPr>
      <t xml:space="preserve">직접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직접 피해는 수호를 무시하고 플레이어를 때립니다</t>
    </r>
    <r>
      <rPr>
        <i val="true"/>
        <sz val="9"/>
        <color rgb="FF666666"/>
        <rFont val="Arial"/>
        <family val="0"/>
        <charset val="1"/>
      </rPr>
      <t xml:space="preserve">.</t>
    </r>
  </si>
  <si>
    <t xml:space="preserve">분류</t>
  </si>
  <si>
    <t xml:space="preserve">수치</t>
  </si>
  <si>
    <t xml:space="preserve">기준 티어</t>
  </si>
  <si>
    <t xml:space="preserve">SP01</t>
  </si>
  <si>
    <t xml:space="preserve">화살</t>
  </si>
  <si>
    <t xml:space="preserve">단일</t>
  </si>
  <si>
    <r>
      <rPr>
        <i val="true"/>
        <sz val="9"/>
        <color rgb="FF666666"/>
        <rFont val="Arial"/>
        <family val="0"/>
        <charset val="1"/>
      </rPr>
      <t xml:space="preserve">2</t>
    </r>
    <r>
      <rPr>
        <i val="true"/>
        <sz val="9"/>
        <color rgb="FF666666"/>
        <rFont val="Noto Sans CJK SC"/>
        <family val="2"/>
      </rPr>
      <t xml:space="preserve">코 크리처 </t>
    </r>
    <r>
      <rPr>
        <i val="true"/>
        <sz val="9"/>
        <color rgb="FF666666"/>
        <rFont val="Arial"/>
        <family val="0"/>
        <charset val="1"/>
      </rPr>
      <t xml:space="preserve">1</t>
    </r>
    <r>
      <rPr>
        <i val="true"/>
        <sz val="9"/>
        <color rgb="FF666666"/>
        <rFont val="Noto Sans CJK SC"/>
        <family val="2"/>
      </rPr>
      <t xml:space="preserve">개체 처리</t>
    </r>
  </si>
  <si>
    <t xml:space="preserve">SP02</t>
  </si>
  <si>
    <t xml:space="preserve">창격</t>
  </si>
  <si>
    <r>
      <rPr>
        <i val="true"/>
        <sz val="9"/>
        <color rgb="FF666666"/>
        <rFont val="Arial"/>
        <family val="0"/>
        <charset val="1"/>
      </rPr>
      <t xml:space="preserve">3</t>
    </r>
    <r>
      <rPr>
        <i val="true"/>
        <sz val="9"/>
        <color rgb="FF666666"/>
        <rFont val="Noto Sans CJK SC"/>
        <family val="2"/>
      </rPr>
      <t xml:space="preserve">코 수호</t>
    </r>
    <r>
      <rPr>
        <i val="true"/>
        <sz val="9"/>
        <color rgb="FF666666"/>
        <rFont val="Arial"/>
        <family val="0"/>
        <charset val="1"/>
      </rPr>
      <t xml:space="preserve">(HP 4~6) </t>
    </r>
    <r>
      <rPr>
        <i val="true"/>
        <sz val="9"/>
        <color rgb="FF666666"/>
        <rFont val="Noto Sans CJK SC"/>
        <family val="2"/>
      </rPr>
      <t xml:space="preserve">대응</t>
    </r>
  </si>
  <si>
    <t xml:space="preserve">SP03</t>
  </si>
  <si>
    <t xml:space="preserve">처형</t>
  </si>
  <si>
    <r>
      <rPr>
        <i val="true"/>
        <sz val="9"/>
        <color rgb="FF666666"/>
        <rFont val="Arial"/>
        <family val="0"/>
        <charset val="1"/>
      </rPr>
      <t xml:space="preserve">4</t>
    </r>
    <r>
      <rPr>
        <i val="true"/>
        <sz val="9"/>
        <color rgb="FF666666"/>
        <rFont val="Noto Sans CJK SC"/>
        <family val="2"/>
      </rPr>
      <t xml:space="preserve">코 크리처까지 사정권</t>
    </r>
  </si>
  <si>
    <t xml:space="preserve">SP04</t>
  </si>
  <si>
    <t xml:space="preserve">화염비</t>
  </si>
  <si>
    <t xml:space="preserve">스택 덱의 유일한 해답</t>
  </si>
  <si>
    <t xml:space="preserve">SP05</t>
  </si>
  <si>
    <t xml:space="preserve">소멸</t>
  </si>
  <si>
    <r>
      <rPr>
        <i val="true"/>
        <sz val="9"/>
        <color rgb="FF666666"/>
        <rFont val="Arial"/>
        <family val="0"/>
        <charset val="1"/>
      </rPr>
      <t xml:space="preserve">6</t>
    </r>
    <r>
      <rPr>
        <i val="true"/>
        <sz val="9"/>
        <color rgb="FF666666"/>
        <rFont val="Noto Sans CJK SC"/>
        <family val="2"/>
      </rPr>
      <t xml:space="preserve">코 크리처 대응 카드</t>
    </r>
  </si>
  <si>
    <t xml:space="preserve">합계</t>
  </si>
  <si>
    <t xml:space="preserve">인챈트 카드 데이터</t>
  </si>
  <si>
    <r>
      <rPr>
        <i val="true"/>
        <sz val="9"/>
        <color rgb="FF666666"/>
        <rFont val="Noto Sans CJK SC"/>
        <family val="2"/>
      </rPr>
      <t xml:space="preserve">총산출 </t>
    </r>
    <r>
      <rPr>
        <i val="true"/>
        <sz val="9"/>
        <color rgb="FF666666"/>
        <rFont val="Arial"/>
        <family val="0"/>
        <charset val="1"/>
      </rPr>
      <t xml:space="preserve">T = </t>
    </r>
    <r>
      <rPr>
        <i val="true"/>
        <sz val="9"/>
        <color rgb="FF666666"/>
        <rFont val="Noto Sans CJK SC"/>
        <family val="2"/>
      </rPr>
      <t xml:space="preserve">효과값 </t>
    </r>
    <r>
      <rPr>
        <i val="true"/>
        <sz val="9"/>
        <color rgb="FF666666"/>
        <rFont val="Arial"/>
        <family val="0"/>
        <charset val="1"/>
      </rPr>
      <t xml:space="preserve">E × </t>
    </r>
    <r>
      <rPr>
        <i val="true"/>
        <sz val="9"/>
        <color rgb="FF666666"/>
        <rFont val="Noto Sans CJK SC"/>
        <family val="2"/>
      </rPr>
      <t xml:space="preserve">충전 </t>
    </r>
    <r>
      <rPr>
        <i val="true"/>
        <sz val="9"/>
        <color rgb="FF666666"/>
        <rFont val="Arial"/>
        <family val="0"/>
        <charset val="1"/>
      </rPr>
      <t xml:space="preserve">C. </t>
    </r>
    <r>
      <rPr>
        <i val="true"/>
        <sz val="9"/>
        <color rgb="FF666666"/>
        <rFont val="Noto Sans CJK SC"/>
        <family val="2"/>
      </rPr>
      <t xml:space="preserve">대상이 </t>
    </r>
    <r>
      <rPr>
        <i val="true"/>
        <sz val="9"/>
        <color rgb="FF666666"/>
        <rFont val="Arial"/>
        <family val="0"/>
        <charset val="1"/>
      </rPr>
      <t xml:space="preserve">'</t>
    </r>
    <r>
      <rPr>
        <i val="true"/>
        <sz val="9"/>
        <color rgb="FF666666"/>
        <rFont val="Noto Sans CJK SC"/>
        <family val="2"/>
      </rPr>
      <t xml:space="preserve">전체</t>
    </r>
    <r>
      <rPr>
        <i val="true"/>
        <sz val="9"/>
        <color rgb="FF666666"/>
        <rFont val="Arial"/>
        <family val="0"/>
        <charset val="1"/>
      </rPr>
      <t xml:space="preserve">'</t>
    </r>
    <r>
      <rPr>
        <i val="true"/>
        <sz val="9"/>
        <color rgb="FF666666"/>
        <rFont val="Noto Sans CJK SC"/>
        <family val="2"/>
      </rPr>
      <t xml:space="preserve">면 보드 크리처 수만큼 곱해지므로 </t>
    </r>
    <r>
      <rPr>
        <i val="true"/>
        <sz val="9"/>
        <color rgb="FF666666"/>
        <rFont val="Arial"/>
        <family val="0"/>
        <charset val="1"/>
      </rPr>
      <t xml:space="preserve">E</t>
    </r>
    <r>
      <rPr>
        <i val="true"/>
        <sz val="9"/>
        <color rgb="FF666666"/>
        <rFont val="Noto Sans CJK SC"/>
        <family val="2"/>
      </rPr>
      <t xml:space="preserve">를 절반으로 잡습니다</t>
    </r>
    <r>
      <rPr>
        <i val="true"/>
        <sz val="9"/>
        <color rgb="FF666666"/>
        <rFont val="Arial"/>
        <family val="0"/>
        <charset val="1"/>
      </rPr>
      <t xml:space="preserve">.</t>
    </r>
  </si>
  <si>
    <t xml:space="preserve">소모 타입</t>
  </si>
  <si>
    <r>
      <rPr>
        <b val="true"/>
        <sz val="10"/>
        <color rgb="FFFFFFFF"/>
        <rFont val="Noto Sans CJK SC"/>
        <family val="2"/>
      </rPr>
      <t xml:space="preserve">효과값 </t>
    </r>
    <r>
      <rPr>
        <b val="true"/>
        <sz val="10"/>
        <color rgb="FFFFFFFF"/>
        <rFont val="Arial"/>
        <family val="0"/>
        <charset val="1"/>
      </rPr>
      <t xml:space="preserve">E</t>
    </r>
  </si>
  <si>
    <r>
      <rPr>
        <b val="true"/>
        <sz val="10"/>
        <color rgb="FFFFFFFF"/>
        <rFont val="Noto Sans CJK SC"/>
        <family val="2"/>
      </rPr>
      <t xml:space="preserve">충전 </t>
    </r>
    <r>
      <rPr>
        <b val="true"/>
        <sz val="10"/>
        <color rgb="FFFFFFFF"/>
        <rFont val="Arial"/>
        <family val="0"/>
        <charset val="1"/>
      </rPr>
      <t xml:space="preserve">C</t>
    </r>
  </si>
  <si>
    <t xml:space="preserve">대상</t>
  </si>
  <si>
    <r>
      <rPr>
        <b val="true"/>
        <sz val="10"/>
        <color rgb="FFFFFFFF"/>
        <rFont val="Noto Sans CJK SC"/>
        <family val="2"/>
      </rPr>
      <t xml:space="preserve">총산출 </t>
    </r>
    <r>
      <rPr>
        <b val="true"/>
        <sz val="10"/>
        <color rgb="FFFFFFFF"/>
        <rFont val="Arial"/>
        <family val="0"/>
        <charset val="1"/>
      </rPr>
      <t xml:space="preserve">T</t>
    </r>
  </si>
  <si>
    <r>
      <rPr>
        <b val="true"/>
        <sz val="10"/>
        <color rgb="FFFFFFFF"/>
        <rFont val="Noto Sans CJK SC"/>
        <family val="2"/>
      </rPr>
      <t xml:space="preserve">예산 </t>
    </r>
    <r>
      <rPr>
        <b val="true"/>
        <sz val="10"/>
        <color rgb="FFFFFFFF"/>
        <rFont val="Arial"/>
        <family val="0"/>
        <charset val="1"/>
      </rPr>
      <t xml:space="preserve">T</t>
    </r>
  </si>
  <si>
    <t xml:space="preserve">효과 설명</t>
  </si>
  <si>
    <t xml:space="preserve">EN01</t>
  </si>
  <si>
    <t xml:space="preserve">성화</t>
  </si>
  <si>
    <t xml:space="preserve">지속형</t>
  </si>
  <si>
    <t xml:space="preserve">상대</t>
  </si>
  <si>
    <r>
      <rPr>
        <i val="true"/>
        <sz val="9"/>
        <color rgb="FF666666"/>
        <rFont val="Noto Sans CJK SC"/>
        <family val="2"/>
      </rPr>
      <t xml:space="preserve">내 턴 종료마다 상대에게 </t>
    </r>
    <r>
      <rPr>
        <i val="true"/>
        <sz val="9"/>
        <color rgb="FF666666"/>
        <rFont val="Arial"/>
        <family val="0"/>
        <charset val="1"/>
      </rPr>
      <t xml:space="preserve">3 </t>
    </r>
    <r>
      <rPr>
        <i val="true"/>
        <sz val="9"/>
        <color rgb="FF666666"/>
        <rFont val="Noto Sans CJK SC"/>
        <family val="2"/>
      </rPr>
      <t xml:space="preserve">피해</t>
    </r>
  </si>
  <si>
    <t xml:space="preserve">EN02</t>
  </si>
  <si>
    <t xml:space="preserve">군기</t>
  </si>
  <si>
    <t xml:space="preserve">전체</t>
  </si>
  <si>
    <r>
      <rPr>
        <i val="true"/>
        <sz val="9"/>
        <color rgb="FF666666"/>
        <rFont val="Noto Sans CJK SC"/>
        <family val="2"/>
      </rPr>
      <t xml:space="preserve">내 크리처 전체 </t>
    </r>
    <r>
      <rPr>
        <i val="true"/>
        <sz val="9"/>
        <color rgb="FF666666"/>
        <rFont val="Arial"/>
        <family val="0"/>
        <charset val="1"/>
      </rPr>
      <t xml:space="preserve">ATK +2 (</t>
    </r>
    <r>
      <rPr>
        <i val="true"/>
        <sz val="9"/>
        <color rgb="FF666666"/>
        <rFont val="Noto Sans CJK SC"/>
        <family val="2"/>
      </rPr>
      <t xml:space="preserve">미구현 </t>
    </r>
    <r>
      <rPr>
        <i val="true"/>
        <sz val="9"/>
        <color rgb="FF666666"/>
        <rFont val="Arial"/>
        <family val="0"/>
        <charset val="1"/>
      </rPr>
      <t xml:space="preserve">· </t>
    </r>
    <r>
      <rPr>
        <i val="true"/>
        <sz val="9"/>
        <color rgb="FF666666"/>
        <rFont val="Noto Sans CJK SC"/>
        <family val="2"/>
      </rPr>
      <t xml:space="preserve">잠정</t>
    </r>
    <r>
      <rPr>
        <i val="true"/>
        <sz val="9"/>
        <color rgb="FF666666"/>
        <rFont val="Arial"/>
        <family val="0"/>
        <charset val="1"/>
      </rPr>
      <t xml:space="preserve">)</t>
    </r>
  </si>
  <si>
    <t xml:space="preserve">EN03</t>
  </si>
  <si>
    <t xml:space="preserve">각성</t>
  </si>
  <si>
    <t xml:space="preserve">사용형</t>
  </si>
  <si>
    <r>
      <rPr>
        <i val="true"/>
        <sz val="9"/>
        <color rgb="FF666666"/>
        <rFont val="Noto Sans CJK SC"/>
        <family val="2"/>
      </rPr>
      <t xml:space="preserve">내 크리처 </t>
    </r>
    <r>
      <rPr>
        <i val="true"/>
        <sz val="9"/>
        <color rgb="FF666666"/>
        <rFont val="Arial"/>
        <family val="0"/>
        <charset val="1"/>
      </rPr>
      <t xml:space="preserve">1</t>
    </r>
    <r>
      <rPr>
        <i val="true"/>
        <sz val="9"/>
        <color rgb="FF666666"/>
        <rFont val="Noto Sans CJK SC"/>
        <family val="2"/>
      </rPr>
      <t xml:space="preserve">개체 </t>
    </r>
    <r>
      <rPr>
        <i val="true"/>
        <sz val="9"/>
        <color rgb="FF666666"/>
        <rFont val="Arial"/>
        <family val="0"/>
        <charset val="1"/>
      </rPr>
      <t xml:space="preserve">HP +5 (</t>
    </r>
    <r>
      <rPr>
        <i val="true"/>
        <sz val="9"/>
        <color rgb="FF666666"/>
        <rFont val="Noto Sans CJK SC"/>
        <family val="2"/>
      </rPr>
      <t xml:space="preserve">미구현 </t>
    </r>
    <r>
      <rPr>
        <i val="true"/>
        <sz val="9"/>
        <color rgb="FF666666"/>
        <rFont val="Arial"/>
        <family val="0"/>
        <charset val="1"/>
      </rPr>
      <t xml:space="preserve">· </t>
    </r>
    <r>
      <rPr>
        <i val="true"/>
        <sz val="9"/>
        <color rgb="FF666666"/>
        <rFont val="Noto Sans CJK SC"/>
        <family val="2"/>
      </rPr>
      <t xml:space="preserve">잠정</t>
    </r>
    <r>
      <rPr>
        <i val="true"/>
        <sz val="9"/>
        <color rgb="FF666666"/>
        <rFont val="Arial"/>
        <family val="0"/>
        <charset val="1"/>
      </rPr>
      <t xml:space="preserve">)</t>
    </r>
  </si>
  <si>
    <t xml:space="preserve">소모 타입 정의</t>
  </si>
  <si>
    <r>
      <rPr>
        <i val="true"/>
        <sz val="9"/>
        <color rgb="FF666666"/>
        <rFont val="Noto Sans CJK SC"/>
        <family val="2"/>
      </rPr>
      <t xml:space="preserve">내 턴 종료마다 충전 </t>
    </r>
    <r>
      <rPr>
        <i val="true"/>
        <sz val="9"/>
        <color rgb="FF666666"/>
        <rFont val="Arial"/>
        <family val="0"/>
        <charset val="1"/>
      </rPr>
      <t xml:space="preserve">1 </t>
    </r>
    <r>
      <rPr>
        <i val="true"/>
        <sz val="9"/>
        <color rgb="FF666666"/>
        <rFont val="Noto Sans CJK SC"/>
        <family val="2"/>
      </rPr>
      <t xml:space="preserve">소모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수명 예측 가능</t>
    </r>
  </si>
  <si>
    <t xml:space="preserve">발동형</t>
  </si>
  <si>
    <r>
      <rPr>
        <i val="true"/>
        <sz val="9"/>
        <color rgb="FF666666"/>
        <rFont val="Noto Sans CJK SC"/>
        <family val="2"/>
      </rPr>
      <t xml:space="preserve">조건 충족 시 충전 </t>
    </r>
    <r>
      <rPr>
        <i val="true"/>
        <sz val="9"/>
        <color rgb="FF666666"/>
        <rFont val="Arial"/>
        <family val="0"/>
        <charset val="1"/>
      </rPr>
      <t xml:space="preserve">1 </t>
    </r>
    <r>
      <rPr>
        <i val="true"/>
        <sz val="9"/>
        <color rgb="FF666666"/>
        <rFont val="Noto Sans CJK SC"/>
        <family val="2"/>
      </rPr>
      <t xml:space="preserve">소모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상대 플레이가 수명 결정</t>
    </r>
  </si>
  <si>
    <r>
      <rPr>
        <i val="true"/>
        <sz val="9"/>
        <color rgb="FF666666"/>
        <rFont val="Noto Sans CJK SC"/>
        <family val="2"/>
      </rPr>
      <t xml:space="preserve">능동 사용 시 충전 </t>
    </r>
    <r>
      <rPr>
        <i val="true"/>
        <sz val="9"/>
        <color rgb="FF666666"/>
        <rFont val="Arial"/>
        <family val="0"/>
        <charset val="1"/>
      </rPr>
      <t xml:space="preserve">1 </t>
    </r>
    <r>
      <rPr>
        <i val="true"/>
        <sz val="9"/>
        <color rgb="FF666666"/>
        <rFont val="Noto Sans CJK SC"/>
        <family val="2"/>
      </rPr>
      <t xml:space="preserve">소모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타이밍을 내가 쥠</t>
    </r>
    <r>
      <rPr>
        <i val="true"/>
        <sz val="9"/>
        <color rgb="FF666666"/>
        <rFont val="Arial"/>
        <family val="0"/>
        <charset val="1"/>
      </rPr>
      <t xml:space="preserve">, </t>
    </r>
    <r>
      <rPr>
        <i val="true"/>
        <sz val="9"/>
        <color rgb="FF666666"/>
        <rFont val="Noto Sans CJK SC"/>
        <family val="2"/>
      </rPr>
      <t xml:space="preserve">가장 비쌈</t>
    </r>
  </si>
  <si>
    <t xml:space="preserve">덱 구성 검산</t>
  </si>
  <si>
    <r>
      <rPr>
        <i val="true"/>
        <sz val="9"/>
        <color rgb="FF666666"/>
        <rFont val="Noto Sans CJK SC"/>
        <family val="2"/>
      </rPr>
      <t xml:space="preserve">각 시트의 덱 매수를 합산합니다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Noto Sans CJK SC"/>
        <family val="2"/>
      </rPr>
      <t xml:space="preserve">목표 덱 사이즈와 맞는지 확인하세요</t>
    </r>
    <r>
      <rPr>
        <i val="true"/>
        <sz val="9"/>
        <color rgb="FF666666"/>
        <rFont val="Arial"/>
        <family val="0"/>
        <charset val="1"/>
      </rPr>
      <t xml:space="preserve">.</t>
    </r>
  </si>
  <si>
    <t xml:space="preserve">크리처 매수</t>
  </si>
  <si>
    <t xml:space="preserve">타입별 합계</t>
  </si>
  <si>
    <t xml:space="preserve">스펠 매수</t>
  </si>
  <si>
    <t xml:space="preserve">인챈트 매수</t>
  </si>
  <si>
    <t xml:space="preserve">총 카드 수</t>
  </si>
  <si>
    <t xml:space="preserve">목표 덱 사이즈와 일치해야 함</t>
  </si>
  <si>
    <t xml:space="preserve">목표 덱 사이즈</t>
  </si>
  <si>
    <t xml:space="preserve">규칙상수 시트에서 조정</t>
  </si>
  <si>
    <t xml:space="preserve">차이</t>
  </si>
  <si>
    <r>
      <rPr>
        <i val="true"/>
        <sz val="9"/>
        <color rgb="FF666666"/>
        <rFont val="Arial"/>
        <family val="0"/>
        <charset val="1"/>
      </rPr>
      <t xml:space="preserve">0</t>
    </r>
    <r>
      <rPr>
        <i val="true"/>
        <sz val="9"/>
        <color rgb="FF666666"/>
        <rFont val="Noto Sans CJK SC"/>
        <family val="2"/>
      </rPr>
      <t xml:space="preserve">이 되어야 정상</t>
    </r>
  </si>
  <si>
    <t xml:space="preserve">예산 검산 요약</t>
  </si>
  <si>
    <t xml:space="preserve">예산 초과 크리처</t>
  </si>
  <si>
    <r>
      <rPr>
        <i val="true"/>
        <sz val="9"/>
        <color rgb="FF666666"/>
        <rFont val="Arial"/>
        <family val="0"/>
        <charset val="1"/>
      </rPr>
      <t xml:space="preserve">0</t>
    </r>
    <r>
      <rPr>
        <i val="true"/>
        <sz val="9"/>
        <color rgb="FF666666"/>
        <rFont val="Noto Sans CJK SC"/>
        <family val="2"/>
      </rPr>
      <t xml:space="preserve">이 이상적</t>
    </r>
    <r>
      <rPr>
        <i val="true"/>
        <sz val="9"/>
        <color rgb="FF666666"/>
        <rFont val="Arial"/>
        <family val="0"/>
        <charset val="1"/>
      </rPr>
      <t xml:space="preserve">. 1 </t>
    </r>
    <r>
      <rPr>
        <i val="true"/>
        <sz val="9"/>
        <color rgb="FF666666"/>
        <rFont val="Noto Sans CJK SC"/>
        <family val="2"/>
      </rPr>
      <t xml:space="preserve">이상이면 해당 카드 확인</t>
    </r>
  </si>
  <si>
    <t xml:space="preserve">예산 미달 크리처</t>
  </si>
  <si>
    <t xml:space="preserve">약간의 미달은 허용 — 태그가 없는 바닐라라면 재조정</t>
  </si>
  <si>
    <t xml:space="preserve">예산 초과 스펠</t>
  </si>
  <si>
    <t xml:space="preserve">예산 초과 인챈트</t>
  </si>
  <si>
    <t xml:space="preserve">게임 속도 추정</t>
  </si>
  <si>
    <r>
      <rPr>
        <sz val="10"/>
        <rFont val="Noto Sans CJK SC"/>
        <family val="2"/>
      </rPr>
      <t xml:space="preserve">보드 총 </t>
    </r>
    <r>
      <rPr>
        <sz val="10"/>
        <rFont val="Arial"/>
        <family val="0"/>
        <charset val="1"/>
      </rPr>
      <t xml:space="preserve">ATK</t>
    </r>
  </si>
  <si>
    <r>
      <rPr>
        <i val="true"/>
        <sz val="9"/>
        <color rgb="FF666666"/>
        <rFont val="Noto Sans CJK SC"/>
        <family val="2"/>
      </rPr>
      <t xml:space="preserve">덱의 모든 크리처를 다 깔았을 때의 총 공격력 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참고값</t>
    </r>
    <r>
      <rPr>
        <i val="true"/>
        <sz val="9"/>
        <color rgb="FF666666"/>
        <rFont val="Arial"/>
        <family val="0"/>
        <charset val="1"/>
      </rPr>
      <t xml:space="preserve">)</t>
    </r>
  </si>
  <si>
    <t xml:space="preserve">규칙상수 시트 연동</t>
  </si>
  <si>
    <t xml:space="preserve">미확정 사항</t>
  </si>
  <si>
    <r>
      <rPr>
        <i val="true"/>
        <sz val="9"/>
        <color rgb="FF666666"/>
        <rFont val="Arial"/>
        <family val="0"/>
        <charset val="1"/>
      </rPr>
      <t xml:space="preserve">· </t>
    </r>
    <r>
      <rPr>
        <i val="true"/>
        <sz val="9"/>
        <color rgb="FF666666"/>
        <rFont val="Noto Sans CJK SC"/>
        <family val="2"/>
      </rPr>
      <t xml:space="preserve">덱 소진 시 누적 피해 규칙 — 수치 미정</t>
    </r>
  </si>
  <si>
    <r>
      <rPr>
        <i val="true"/>
        <sz val="9"/>
        <color rgb="FF666666"/>
        <rFont val="Arial"/>
        <family val="0"/>
        <charset val="1"/>
      </rPr>
      <t xml:space="preserve">· </t>
    </r>
    <r>
      <rPr>
        <i val="true"/>
        <sz val="9"/>
        <color rgb="FF666666"/>
        <rFont val="Noto Sans CJK SC"/>
        <family val="2"/>
      </rPr>
      <t xml:space="preserve">슬롯 </t>
    </r>
    <r>
      <rPr>
        <i val="true"/>
        <sz val="9"/>
        <color rgb="FF666666"/>
        <rFont val="Arial"/>
        <family val="0"/>
        <charset val="1"/>
      </rPr>
      <t xml:space="preserve">10</t>
    </r>
    <r>
      <rPr>
        <i val="true"/>
        <sz val="9"/>
        <color rgb="FF666666"/>
        <rFont val="Noto Sans CJK SC"/>
        <family val="2"/>
      </rPr>
      <t xml:space="preserve">칸 만석 시 처리 — 소환 불가 </t>
    </r>
    <r>
      <rPr>
        <i val="true"/>
        <sz val="9"/>
        <color rgb="FF666666"/>
        <rFont val="Arial"/>
        <family val="0"/>
        <charset val="1"/>
      </rPr>
      <t xml:space="preserve">/ </t>
    </r>
    <r>
      <rPr>
        <i val="true"/>
        <sz val="9"/>
        <color rgb="FF666666"/>
        <rFont val="Noto Sans CJK SC"/>
        <family val="2"/>
      </rPr>
      <t xml:space="preserve">밀어내기 택일</t>
    </r>
  </si>
  <si>
    <r>
      <rPr>
        <i val="true"/>
        <sz val="9"/>
        <color rgb="FF666666"/>
        <rFont val="Arial"/>
        <family val="0"/>
        <charset val="1"/>
      </rPr>
      <t xml:space="preserve">· </t>
    </r>
    <r>
      <rPr>
        <i val="true"/>
        <sz val="9"/>
        <color rgb="FF666666"/>
        <rFont val="Noto Sans CJK SC"/>
        <family val="2"/>
      </rPr>
      <t xml:space="preserve">인챈트 발동과 크리처 공격의 선후 관계 — 현재는 공격 후 인챈트</t>
    </r>
  </si>
  <si>
    <r>
      <rPr>
        <i val="true"/>
        <sz val="9"/>
        <color rgb="FF666666"/>
        <rFont val="Arial"/>
        <family val="0"/>
        <charset val="1"/>
      </rPr>
      <t xml:space="preserve">· </t>
    </r>
    <r>
      <rPr>
        <i val="true"/>
        <sz val="9"/>
        <color rgb="FF666666"/>
        <rFont val="Noto Sans CJK SC"/>
        <family val="2"/>
      </rPr>
      <t xml:space="preserve">비행</t>
    </r>
    <r>
      <rPr>
        <i val="true"/>
        <sz val="9"/>
        <color rgb="FF666666"/>
        <rFont val="Arial"/>
        <family val="0"/>
        <charset val="1"/>
      </rPr>
      <t xml:space="preserve">+</t>
    </r>
    <r>
      <rPr>
        <i val="true"/>
        <sz val="9"/>
        <color rgb="FF666666"/>
        <rFont val="Noto Sans CJK SC"/>
        <family val="2"/>
      </rPr>
      <t xml:space="preserve">수호 조합의 예산 가중치 — 잠정치 사용 중</t>
    </r>
  </si>
  <si>
    <r>
      <rPr>
        <i val="true"/>
        <sz val="9"/>
        <color rgb="FF666666"/>
        <rFont val="Arial"/>
        <family val="0"/>
        <charset val="1"/>
      </rPr>
      <t xml:space="preserve">· </t>
    </r>
    <r>
      <rPr>
        <i val="true"/>
        <sz val="9"/>
        <color rgb="FF666666"/>
        <rFont val="Noto Sans CJK SC"/>
        <family val="2"/>
      </rPr>
      <t xml:space="preserve">수호 파괴 보상 카드의 강도와 채용 수</t>
    </r>
  </si>
  <si>
    <t xml:space="preserve">범례</t>
  </si>
  <si>
    <r>
      <rPr>
        <sz val="10"/>
        <color rgb="FF0000FF"/>
        <rFont val="Noto Sans CJK SC"/>
        <family val="2"/>
      </rPr>
      <t xml:space="preserve">파란 글씨 </t>
    </r>
    <r>
      <rPr>
        <sz val="10"/>
        <color rgb="FF0000FF"/>
        <rFont val="Arial"/>
        <family val="0"/>
        <charset val="1"/>
      </rPr>
      <t xml:space="preserve">+ </t>
    </r>
    <r>
      <rPr>
        <sz val="10"/>
        <color rgb="FF0000FF"/>
        <rFont val="Noto Sans CJK SC"/>
        <family val="2"/>
      </rPr>
      <t xml:space="preserve">노란 배경</t>
    </r>
  </si>
  <si>
    <t xml:space="preserve">직접 입력하는 값</t>
  </si>
  <si>
    <t xml:space="preserve">검은 글씨</t>
  </si>
  <si>
    <t xml:space="preserve">수식 — 수정하지 마세요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</si>
</sst>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i val="true"/>
      <sz val="9"/>
      <color rgb="FF666666"/>
      <name val="Noto Sans CJK SC"/>
      <family val="2"/>
    </font>
    <font>
      <i val="true"/>
      <sz val="9"/>
      <color rgb="FF666666"/>
      <name val="Arial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2D3BA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FFF3C4"/>
        <bgColor rgb="FFFDF0E0"/>
      </patternFill>
    </fill>
    <fill>
      <patternFill patternType="solid">
        <fgColor rgb="FF141821"/>
        <bgColor rgb="FF000000"/>
      </patternFill>
    </fill>
    <fill>
      <patternFill patternType="solid">
        <fgColor rgb="FFE8F4F2"/>
        <bgColor rgb="FFEFEAF9"/>
      </patternFill>
    </fill>
    <fill>
      <patternFill patternType="solid">
        <fgColor rgb="FFFDF0E0"/>
        <bgColor rgb="FFFFF3C4"/>
      </patternFill>
    </fill>
    <fill>
      <patternFill patternType="solid">
        <fgColor rgb="FFEFEAF9"/>
        <bgColor rgb="FFE8F4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6CCD6"/>
      </left>
      <right style="thin">
        <color rgb="FFC6CCD6"/>
      </right>
      <top style="thin">
        <color rgb="FFC6CCD6"/>
      </top>
      <bottom style="thin">
        <color rgb="FFC6CC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CD6"/>
      <rgbColor rgb="FF808080"/>
      <rgbColor rgb="FF9999FF"/>
      <rgbColor rgb="FF993366"/>
      <rgbColor rgb="FFFFF3C4"/>
      <rgbColor rgb="FFE8F4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AF9"/>
      <rgbColor rgb="FFCCFFCC"/>
      <rgbColor rgb="FFFDF0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141821"/>
      <rgbColor rgb="FF333300"/>
      <rgbColor rgb="FF993300"/>
      <rgbColor rgb="FF993366"/>
      <rgbColor rgb="FF2D3BA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11"/>
    <col collapsed="false" customWidth="true" hidden="false" outlineLevel="0" max="5" min="5" style="0" width="40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60</v>
      </c>
      <c r="C5" s="2" t="s">
        <v>4</v>
      </c>
    </row>
    <row r="6" customFormat="false" ht="15" hidden="false" customHeight="false" outlineLevel="0" collapsed="false">
      <c r="A6" s="4" t="s">
        <v>5</v>
      </c>
      <c r="B6" s="5" t="n">
        <v>6</v>
      </c>
      <c r="C6" s="2" t="s">
        <v>6</v>
      </c>
    </row>
    <row r="7" customFormat="false" ht="15" hidden="false" customHeight="false" outlineLevel="0" collapsed="false">
      <c r="A7" s="4" t="s">
        <v>7</v>
      </c>
      <c r="B7" s="5" t="n">
        <v>10</v>
      </c>
      <c r="C7" s="2" t="s">
        <v>8</v>
      </c>
    </row>
    <row r="8" customFormat="false" ht="15" hidden="false" customHeight="false" outlineLevel="0" collapsed="false">
      <c r="A8" s="4" t="s">
        <v>9</v>
      </c>
      <c r="B8" s="5" t="n">
        <v>5</v>
      </c>
      <c r="C8" s="2" t="s">
        <v>10</v>
      </c>
    </row>
    <row r="9" customFormat="false" ht="15" hidden="false" customHeight="false" outlineLevel="0" collapsed="false">
      <c r="A9" s="4" t="s">
        <v>11</v>
      </c>
      <c r="B9" s="5" t="n">
        <v>30</v>
      </c>
      <c r="C9" s="2" t="s">
        <v>12</v>
      </c>
    </row>
    <row r="11" customFormat="false" ht="15" hidden="false" customHeight="false" outlineLevel="0" collapsed="false">
      <c r="A11" s="3" t="s">
        <v>13</v>
      </c>
    </row>
    <row r="12" customFormat="false" ht="15" hidden="false" customHeight="false" outlineLevel="0" collapsed="false">
      <c r="A12" s="6" t="s">
        <v>14</v>
      </c>
    </row>
    <row r="13" customFormat="false" ht="15" hidden="false" customHeight="false" outlineLevel="0" collapsed="false">
      <c r="A13" s="7" t="s">
        <v>15</v>
      </c>
      <c r="B13" s="5" t="n">
        <v>3</v>
      </c>
      <c r="C13" s="2" t="s">
        <v>16</v>
      </c>
    </row>
    <row r="14" customFormat="false" ht="15" hidden="false" customHeight="false" outlineLevel="0" collapsed="false">
      <c r="A14" s="7" t="s">
        <v>17</v>
      </c>
      <c r="B14" s="5" t="n">
        <v>1</v>
      </c>
      <c r="C14" s="8" t="s">
        <v>18</v>
      </c>
    </row>
    <row r="15" customFormat="false" ht="15" hidden="false" customHeight="false" outlineLevel="0" collapsed="false">
      <c r="A15" s="7" t="s">
        <v>19</v>
      </c>
      <c r="B15" s="5" t="n">
        <v>0.5</v>
      </c>
      <c r="C15" s="2" t="s">
        <v>20</v>
      </c>
    </row>
    <row r="16" customFormat="false" ht="15" hidden="false" customHeight="false" outlineLevel="0" collapsed="false">
      <c r="A16" s="4" t="s">
        <v>21</v>
      </c>
      <c r="B16" s="5" t="n">
        <v>4</v>
      </c>
      <c r="C16" s="2" t="s">
        <v>22</v>
      </c>
    </row>
    <row r="17" customFormat="false" ht="15" hidden="false" customHeight="false" outlineLevel="0" collapsed="false">
      <c r="A17" s="4" t="s">
        <v>23</v>
      </c>
      <c r="B17" s="5" t="n">
        <v>2</v>
      </c>
      <c r="C17" s="2" t="s">
        <v>24</v>
      </c>
    </row>
    <row r="19" customFormat="false" ht="15" hidden="false" customHeight="false" outlineLevel="0" collapsed="false">
      <c r="A19" s="3" t="s">
        <v>25</v>
      </c>
    </row>
    <row r="20" customFormat="false" ht="15" hidden="false" customHeight="false" outlineLevel="0" collapsed="false">
      <c r="A20" s="9" t="s">
        <v>26</v>
      </c>
      <c r="B20" s="10" t="s">
        <v>27</v>
      </c>
      <c r="C20" s="10" t="s">
        <v>28</v>
      </c>
      <c r="D20" s="9" t="s">
        <v>29</v>
      </c>
      <c r="E20" s="9" t="s">
        <v>30</v>
      </c>
    </row>
    <row r="21" customFormat="false" ht="15" hidden="false" customHeight="false" outlineLevel="0" collapsed="false">
      <c r="A21" s="11" t="s">
        <v>31</v>
      </c>
      <c r="B21" s="5" t="n">
        <v>2</v>
      </c>
      <c r="C21" s="5" t="n">
        <v>1</v>
      </c>
      <c r="D21" s="5" t="n">
        <v>0</v>
      </c>
      <c r="E21" s="12" t="s">
        <v>32</v>
      </c>
    </row>
    <row r="22" customFormat="false" ht="15" hidden="false" customHeight="false" outlineLevel="0" collapsed="false">
      <c r="A22" s="11" t="s">
        <v>33</v>
      </c>
      <c r="B22" s="5" t="n">
        <v>2</v>
      </c>
      <c r="C22" s="5" t="n">
        <v>2</v>
      </c>
      <c r="D22" s="5" t="n">
        <v>2</v>
      </c>
      <c r="E22" s="12" t="s">
        <v>34</v>
      </c>
    </row>
    <row r="23" customFormat="false" ht="15" hidden="false" customHeight="false" outlineLevel="0" collapsed="false">
      <c r="A23" s="11" t="s">
        <v>35</v>
      </c>
      <c r="B23" s="5" t="n">
        <v>4</v>
      </c>
      <c r="C23" s="5" t="n">
        <v>1</v>
      </c>
      <c r="D23" s="5" t="n">
        <v>0</v>
      </c>
      <c r="E23" s="11" t="s">
        <v>36</v>
      </c>
    </row>
    <row r="24" customFormat="false" ht="15" hidden="false" customHeight="false" outlineLevel="0" collapsed="false">
      <c r="A24" s="11" t="s">
        <v>37</v>
      </c>
      <c r="B24" s="5" t="n">
        <v>4</v>
      </c>
      <c r="C24" s="5" t="n">
        <v>2</v>
      </c>
      <c r="D24" s="5" t="n">
        <v>2</v>
      </c>
      <c r="E24" s="11" t="s">
        <v>38</v>
      </c>
    </row>
    <row r="27" customFormat="false" ht="15" hidden="false" customHeight="false" outlineLevel="0" collapsed="false">
      <c r="A27" s="3" t="s">
        <v>39</v>
      </c>
    </row>
    <row r="28" customFormat="false" ht="15" hidden="false" customHeight="false" outlineLevel="0" collapsed="false">
      <c r="A28" s="9" t="s">
        <v>40</v>
      </c>
      <c r="B28" s="9" t="s">
        <v>41</v>
      </c>
      <c r="C28" s="9" t="s">
        <v>42</v>
      </c>
      <c r="D28" s="9" t="s">
        <v>43</v>
      </c>
      <c r="E28" s="9" t="s">
        <v>44</v>
      </c>
    </row>
    <row r="29" customFormat="false" ht="15" hidden="false" customHeight="false" outlineLevel="0" collapsed="false">
      <c r="A29" s="13" t="n">
        <v>1</v>
      </c>
      <c r="B29" s="13" t="n">
        <f aca="false">ROUND($B$13*A29+$B$14+(A29-1)^2*$B$15,0)</f>
        <v>4</v>
      </c>
      <c r="C29" s="13" t="n">
        <f aca="false">ROUND(B29/A29,1)</f>
        <v>4</v>
      </c>
      <c r="D29" s="13" t="n">
        <f aca="false">ROUND($B$16*A29+$B$17+(A29-1)^2*$B$15,0)</f>
        <v>6</v>
      </c>
      <c r="E29" s="14" t="s">
        <v>45</v>
      </c>
    </row>
    <row r="30" customFormat="false" ht="15" hidden="false" customHeight="false" outlineLevel="0" collapsed="false">
      <c r="A30" s="13" t="n">
        <v>2</v>
      </c>
      <c r="B30" s="13" t="n">
        <f aca="false">ROUND($B$13*A30+$B$14+(A30-1)^2*$B$15,0)</f>
        <v>8</v>
      </c>
      <c r="C30" s="13" t="n">
        <f aca="false">ROUND(B30/A30,1)</f>
        <v>4</v>
      </c>
      <c r="D30" s="13" t="n">
        <f aca="false">ROUND($B$16*A30+$B$17+(A30-1)^2*$B$15,0)</f>
        <v>11</v>
      </c>
      <c r="E30" s="14" t="s">
        <v>45</v>
      </c>
    </row>
    <row r="31" customFormat="false" ht="15" hidden="false" customHeight="false" outlineLevel="0" collapsed="false">
      <c r="A31" s="13" t="n">
        <v>3</v>
      </c>
      <c r="B31" s="13" t="n">
        <f aca="false">ROUND($B$13*A31+$B$14+(A31-1)^2*$B$15,0)</f>
        <v>12</v>
      </c>
      <c r="C31" s="13" t="n">
        <f aca="false">ROUND(B31/A31,1)</f>
        <v>4</v>
      </c>
      <c r="D31" s="13" t="n">
        <f aca="false">ROUND($B$16*A31+$B$17+(A31-1)^2*$B$15,0)</f>
        <v>16</v>
      </c>
      <c r="E31" s="14" t="s">
        <v>46</v>
      </c>
    </row>
    <row r="32" customFormat="false" ht="15" hidden="false" customHeight="false" outlineLevel="0" collapsed="false">
      <c r="A32" s="13" t="n">
        <v>4</v>
      </c>
      <c r="B32" s="13" t="n">
        <f aca="false">ROUND($B$13*A32+$B$14+(A32-1)^2*$B$15,0)</f>
        <v>18</v>
      </c>
      <c r="C32" s="13" t="n">
        <f aca="false">ROUND(B32/A32,1)</f>
        <v>4.5</v>
      </c>
      <c r="D32" s="13" t="n">
        <f aca="false">ROUND($B$16*A32+$B$17+(A32-1)^2*$B$15,0)</f>
        <v>23</v>
      </c>
      <c r="E32" s="14" t="s">
        <v>47</v>
      </c>
    </row>
    <row r="33" customFormat="false" ht="15" hidden="false" customHeight="false" outlineLevel="0" collapsed="false">
      <c r="A33" s="13" t="n">
        <v>5</v>
      </c>
      <c r="B33" s="13" t="n">
        <f aca="false">ROUND($B$13*A33+$B$14+(A33-1)^2*$B$15,0)</f>
        <v>24</v>
      </c>
      <c r="C33" s="13" t="n">
        <f aca="false">ROUND(B33/A33,1)</f>
        <v>4.8</v>
      </c>
      <c r="D33" s="13" t="n">
        <f aca="false">ROUND($B$16*A33+$B$17+(A33-1)^2*$B$15,0)</f>
        <v>30</v>
      </c>
      <c r="E33" s="14" t="s">
        <v>47</v>
      </c>
    </row>
    <row r="34" customFormat="false" ht="15" hidden="false" customHeight="false" outlineLevel="0" collapsed="false">
      <c r="A34" s="13" t="n">
        <v>6</v>
      </c>
      <c r="B34" s="13" t="n">
        <f aca="false">ROUND($B$13*A34+$B$14+(A34-1)^2*$B$15,0)</f>
        <v>32</v>
      </c>
      <c r="C34" s="13" t="n">
        <f aca="false">ROUND(B34/A34,1)</f>
        <v>5.3</v>
      </c>
      <c r="D34" s="13" t="n">
        <f aca="false">ROUND($B$16*A34+$B$17+(A34-1)^2*$B$15,0)</f>
        <v>39</v>
      </c>
      <c r="E34" s="14" t="s">
        <v>48</v>
      </c>
    </row>
    <row r="37" customFormat="false" ht="15" hidden="false" customHeight="false" outlineLevel="0" collapsed="false">
      <c r="A37" s="3" t="s">
        <v>49</v>
      </c>
    </row>
    <row r="38" customFormat="false" ht="15" hidden="false" customHeight="false" outlineLevel="0" collapsed="false">
      <c r="A38" s="2" t="s">
        <v>50</v>
      </c>
    </row>
    <row r="39" customFormat="false" ht="15" hidden="false" customHeight="false" outlineLevel="0" collapsed="false">
      <c r="A39" s="9" t="s">
        <v>40</v>
      </c>
      <c r="B39" s="9" t="s">
        <v>51</v>
      </c>
      <c r="C39" s="9" t="s">
        <v>52</v>
      </c>
      <c r="D39" s="9" t="s">
        <v>53</v>
      </c>
      <c r="E39" s="9" t="s">
        <v>44</v>
      </c>
    </row>
    <row r="40" customFormat="false" ht="15" hidden="false" customHeight="false" outlineLevel="0" collapsed="false">
      <c r="A40" s="13" t="n">
        <v>1</v>
      </c>
      <c r="B40" s="5" t="n">
        <v>2</v>
      </c>
      <c r="C40" s="5"/>
      <c r="D40" s="5"/>
      <c r="E40" s="14"/>
    </row>
    <row r="41" customFormat="false" ht="15" hidden="false" customHeight="false" outlineLevel="0" collapsed="false">
      <c r="A41" s="13" t="n">
        <v>2</v>
      </c>
      <c r="B41" s="5" t="n">
        <v>4</v>
      </c>
      <c r="C41" s="5" t="n">
        <v>2</v>
      </c>
      <c r="D41" s="5"/>
      <c r="E41" s="14"/>
    </row>
    <row r="42" customFormat="false" ht="15" hidden="false" customHeight="false" outlineLevel="0" collapsed="false">
      <c r="A42" s="13" t="n">
        <v>3</v>
      </c>
      <c r="B42" s="5" t="n">
        <v>6</v>
      </c>
      <c r="C42" s="5" t="n">
        <v>3</v>
      </c>
      <c r="D42" s="5" t="n">
        <v>5</v>
      </c>
      <c r="E42" s="14" t="s">
        <v>54</v>
      </c>
    </row>
    <row r="43" customFormat="false" ht="15" hidden="false" customHeight="false" outlineLevel="0" collapsed="false">
      <c r="A43" s="13" t="n">
        <v>4</v>
      </c>
      <c r="B43" s="5" t="n">
        <v>8</v>
      </c>
      <c r="C43" s="5" t="n">
        <v>5</v>
      </c>
      <c r="D43" s="5"/>
      <c r="E43" s="14"/>
    </row>
    <row r="44" customFormat="false" ht="15" hidden="false" customHeight="false" outlineLevel="0" collapsed="false">
      <c r="A44" s="13" t="n">
        <v>5</v>
      </c>
      <c r="B44" s="5" t="n">
        <v>12</v>
      </c>
      <c r="C44" s="5" t="n">
        <v>7</v>
      </c>
      <c r="D44" s="5"/>
      <c r="E44" s="14"/>
    </row>
    <row r="45" customFormat="false" ht="15" hidden="false" customHeight="false" outlineLevel="0" collapsed="false">
      <c r="A45" s="13" t="n">
        <v>6</v>
      </c>
      <c r="B45" s="5" t="n">
        <v>99</v>
      </c>
      <c r="C45" s="5" t="n">
        <v>10</v>
      </c>
      <c r="D45" s="5"/>
      <c r="E45" s="15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6" min="5" style="0" width="7"/>
    <col collapsed="false" customWidth="true" hidden="false" outlineLevel="0" max="9" min="7" style="0" width="9"/>
    <col collapsed="false" customWidth="true" hidden="false" outlineLevel="0" max="10" min="10" style="0" width="8"/>
    <col collapsed="false" customWidth="true" hidden="false" outlineLevel="0" max="12" min="11" style="0" width="12"/>
    <col collapsed="false" customWidth="true" hidden="false" outlineLevel="0" max="13" min="13" style="0" width="34"/>
  </cols>
  <sheetData>
    <row r="1" customFormat="false" ht="16.15" hidden="false" customHeight="false" outlineLevel="0" collapsed="false">
      <c r="A1" s="16" t="s">
        <v>56</v>
      </c>
    </row>
    <row r="2" customFormat="false" ht="15" hidden="false" customHeight="false" outlineLevel="0" collapsed="false">
      <c r="A2" s="8" t="s">
        <v>57</v>
      </c>
    </row>
    <row r="4" customFormat="false" ht="15" hidden="false" customHeight="false" outlineLevel="0" collapsed="false">
      <c r="A4" s="10" t="s">
        <v>58</v>
      </c>
      <c r="B4" s="9" t="s">
        <v>59</v>
      </c>
      <c r="C4" s="9" t="s">
        <v>40</v>
      </c>
      <c r="D4" s="9" t="s">
        <v>26</v>
      </c>
      <c r="E4" s="10" t="s">
        <v>60</v>
      </c>
      <c r="F4" s="10" t="s">
        <v>61</v>
      </c>
      <c r="G4" s="9" t="s">
        <v>62</v>
      </c>
      <c r="H4" s="9" t="s">
        <v>63</v>
      </c>
      <c r="I4" s="9" t="s">
        <v>64</v>
      </c>
      <c r="J4" s="9" t="s">
        <v>65</v>
      </c>
      <c r="K4" s="9" t="s">
        <v>66</v>
      </c>
      <c r="L4" s="9" t="s">
        <v>42</v>
      </c>
      <c r="M4" s="9" t="s">
        <v>67</v>
      </c>
    </row>
    <row r="5" customFormat="false" ht="15" hidden="false" customHeight="false" outlineLevel="0" collapsed="false">
      <c r="A5" s="13" t="s">
        <v>68</v>
      </c>
      <c r="B5" s="17" t="s">
        <v>69</v>
      </c>
      <c r="C5" s="5" t="n">
        <v>1</v>
      </c>
      <c r="D5" s="18" t="s">
        <v>33</v>
      </c>
      <c r="E5" s="5" t="n">
        <v>0</v>
      </c>
      <c r="F5" s="5" t="n">
        <v>3</v>
      </c>
      <c r="G5" s="5" t="n">
        <v>3</v>
      </c>
      <c r="H5" s="13" t="n">
        <f aca="false">E5*INDEX(규칙상수!$B$21:$B$24,MATCH(D5,규칙상수!$A$21:$A$24,0))+F5*INDEX(규칙상수!$C$21:$C$24,MATCH(D5,규칙상수!$A$21:$A$24,0))</f>
        <v>6</v>
      </c>
      <c r="I5" s="13" t="n">
        <f aca="false">INDEX(규칙상수!$B$29:$B$34,MATCH(C5,규칙상수!$A$29:$A$34,0))+INDEX(규칙상수!$D$21:$D$24,MATCH(D5,규칙상수!$A$21:$A$24,0))</f>
        <v>6</v>
      </c>
      <c r="J5" s="13" t="n">
        <f aca="false">H5-I5</f>
        <v>0</v>
      </c>
      <c r="K5" s="13" t="str">
        <f aca="false">IF(J5=0,"적정",IF(J5&gt;0,"초과 +"&amp;J5,"미달 "&amp;J5))</f>
        <v>적정</v>
      </c>
      <c r="L5" s="13" t="n">
        <f aca="false">ROUND(H5/C5,1)</f>
        <v>6</v>
      </c>
      <c r="M5" s="19" t="s">
        <v>70</v>
      </c>
    </row>
    <row r="6" customFormat="false" ht="15" hidden="false" customHeight="false" outlineLevel="0" collapsed="false">
      <c r="A6" s="13" t="s">
        <v>71</v>
      </c>
      <c r="B6" s="17" t="s">
        <v>72</v>
      </c>
      <c r="C6" s="5" t="n">
        <v>1</v>
      </c>
      <c r="D6" s="20" t="s">
        <v>31</v>
      </c>
      <c r="E6" s="5" t="n">
        <v>1</v>
      </c>
      <c r="F6" s="5" t="n">
        <v>2</v>
      </c>
      <c r="G6" s="5" t="n">
        <v>1</v>
      </c>
      <c r="H6" s="13" t="n">
        <f aca="false">E6*INDEX(규칙상수!$B$21:$B$24,MATCH(D6,규칙상수!$A$21:$A$24,0))+F6*INDEX(규칙상수!$C$21:$C$24,MATCH(D6,규칙상수!$A$21:$A$24,0))</f>
        <v>4</v>
      </c>
      <c r="I6" s="13" t="n">
        <f aca="false">INDEX(규칙상수!$B$29:$B$34,MATCH(C6,규칙상수!$A$29:$A$34,0))+INDEX(규칙상수!$D$21:$D$24,MATCH(D6,규칙상수!$A$21:$A$24,0))</f>
        <v>4</v>
      </c>
      <c r="J6" s="13" t="n">
        <f aca="false">H6-I6</f>
        <v>0</v>
      </c>
      <c r="K6" s="13" t="str">
        <f aca="false">IF(J6=0,"적정",IF(J6&gt;0,"초과 +"&amp;J6,"미달 "&amp;J6))</f>
        <v>적정</v>
      </c>
      <c r="L6" s="13" t="n">
        <f aca="false">ROUND(H6/C6,1)</f>
        <v>4</v>
      </c>
      <c r="M6" s="21" t="s">
        <v>73</v>
      </c>
    </row>
    <row r="7" customFormat="false" ht="15" hidden="false" customHeight="false" outlineLevel="0" collapsed="false">
      <c r="A7" s="13" t="s">
        <v>74</v>
      </c>
      <c r="B7" s="17" t="s">
        <v>75</v>
      </c>
      <c r="C7" s="5" t="n">
        <v>2</v>
      </c>
      <c r="D7" s="18" t="s">
        <v>33</v>
      </c>
      <c r="E7" s="5" t="n">
        <v>1</v>
      </c>
      <c r="F7" s="5" t="n">
        <v>4</v>
      </c>
      <c r="G7" s="5" t="n">
        <v>3</v>
      </c>
      <c r="H7" s="13" t="n">
        <f aca="false">E7*INDEX(규칙상수!$B$21:$B$24,MATCH(D7,규칙상수!$A$21:$A$24,0))+F7*INDEX(규칙상수!$C$21:$C$24,MATCH(D7,규칙상수!$A$21:$A$24,0))</f>
        <v>10</v>
      </c>
      <c r="I7" s="13" t="n">
        <f aca="false">INDEX(규칙상수!$B$29:$B$34,MATCH(C7,규칙상수!$A$29:$A$34,0))+INDEX(규칙상수!$D$21:$D$24,MATCH(D7,규칙상수!$A$21:$A$24,0))</f>
        <v>10</v>
      </c>
      <c r="J7" s="13" t="n">
        <f aca="false">H7-I7</f>
        <v>0</v>
      </c>
      <c r="K7" s="13" t="str">
        <f aca="false">IF(J7=0,"적정",IF(J7&gt;0,"초과 +"&amp;J7,"미달 "&amp;J7))</f>
        <v>적정</v>
      </c>
      <c r="L7" s="13" t="n">
        <f aca="false">ROUND(H7/C7,1)</f>
        <v>5</v>
      </c>
      <c r="M7" s="21" t="s">
        <v>76</v>
      </c>
    </row>
    <row r="8" customFormat="false" ht="15" hidden="false" customHeight="false" outlineLevel="0" collapsed="false">
      <c r="A8" s="13" t="s">
        <v>77</v>
      </c>
      <c r="B8" s="17" t="s">
        <v>78</v>
      </c>
      <c r="C8" s="5" t="n">
        <v>2</v>
      </c>
      <c r="D8" s="20" t="s">
        <v>31</v>
      </c>
      <c r="E8" s="5" t="n">
        <v>2</v>
      </c>
      <c r="F8" s="5" t="n">
        <v>4</v>
      </c>
      <c r="G8" s="5" t="n">
        <v>2</v>
      </c>
      <c r="H8" s="13" t="n">
        <f aca="false">E8*INDEX(규칙상수!$B$21:$B$24,MATCH(D8,규칙상수!$A$21:$A$24,0))+F8*INDEX(규칙상수!$C$21:$C$24,MATCH(D8,규칙상수!$A$21:$A$24,0))</f>
        <v>8</v>
      </c>
      <c r="I8" s="13" t="n">
        <f aca="false">INDEX(규칙상수!$B$29:$B$34,MATCH(C8,규칙상수!$A$29:$A$34,0))+INDEX(규칙상수!$D$21:$D$24,MATCH(D8,규칙상수!$A$21:$A$24,0))</f>
        <v>8</v>
      </c>
      <c r="J8" s="13" t="n">
        <f aca="false">H8-I8</f>
        <v>0</v>
      </c>
      <c r="K8" s="13" t="str">
        <f aca="false">IF(J8=0,"적정",IF(J8&gt;0,"초과 +"&amp;J8,"미달 "&amp;J8))</f>
        <v>적정</v>
      </c>
      <c r="L8" s="13" t="n">
        <f aca="false">ROUND(H8/C8,1)</f>
        <v>4</v>
      </c>
      <c r="M8" s="21" t="s">
        <v>79</v>
      </c>
    </row>
    <row r="9" customFormat="false" ht="15" hidden="false" customHeight="false" outlineLevel="0" collapsed="false">
      <c r="A9" s="13" t="s">
        <v>80</v>
      </c>
      <c r="B9" s="17" t="s">
        <v>81</v>
      </c>
      <c r="C9" s="5" t="n">
        <v>2</v>
      </c>
      <c r="D9" s="22" t="s">
        <v>35</v>
      </c>
      <c r="E9" s="5" t="n">
        <v>1</v>
      </c>
      <c r="F9" s="5" t="n">
        <v>4</v>
      </c>
      <c r="G9" s="5" t="n">
        <v>2</v>
      </c>
      <c r="H9" s="13" t="n">
        <f aca="false">E9*INDEX(규칙상수!$B$21:$B$24,MATCH(D9,규칙상수!$A$21:$A$24,0))+F9*INDEX(규칙상수!$C$21:$C$24,MATCH(D9,규칙상수!$A$21:$A$24,0))</f>
        <v>8</v>
      </c>
      <c r="I9" s="13" t="n">
        <f aca="false">INDEX(규칙상수!$B$29:$B$34,MATCH(C9,규칙상수!$A$29:$A$34,0))+INDEX(규칙상수!$D$21:$D$24,MATCH(D9,규칙상수!$A$21:$A$24,0))</f>
        <v>8</v>
      </c>
      <c r="J9" s="13" t="n">
        <f aca="false">H9-I9</f>
        <v>0</v>
      </c>
      <c r="K9" s="13" t="str">
        <f aca="false">IF(J9=0,"적정",IF(J9&gt;0,"초과 +"&amp;J9,"미달 "&amp;J9))</f>
        <v>적정</v>
      </c>
      <c r="L9" s="13" t="n">
        <f aca="false">ROUND(H9/C9,1)</f>
        <v>4</v>
      </c>
      <c r="M9" s="21" t="s">
        <v>82</v>
      </c>
    </row>
    <row r="10" customFormat="false" ht="15" hidden="false" customHeight="false" outlineLevel="0" collapsed="false">
      <c r="A10" s="13" t="s">
        <v>83</v>
      </c>
      <c r="B10" s="17" t="s">
        <v>84</v>
      </c>
      <c r="C10" s="5" t="n">
        <v>3</v>
      </c>
      <c r="D10" s="18" t="s">
        <v>33</v>
      </c>
      <c r="E10" s="5" t="n">
        <v>1</v>
      </c>
      <c r="F10" s="5" t="n">
        <v>6</v>
      </c>
      <c r="G10" s="5" t="n">
        <v>2</v>
      </c>
      <c r="H10" s="13" t="n">
        <f aca="false">E10*INDEX(규칙상수!$B$21:$B$24,MATCH(D10,규칙상수!$A$21:$A$24,0))+F10*INDEX(규칙상수!$C$21:$C$24,MATCH(D10,규칙상수!$A$21:$A$24,0))</f>
        <v>14</v>
      </c>
      <c r="I10" s="13" t="n">
        <f aca="false">INDEX(규칙상수!$B$29:$B$34,MATCH(C10,규칙상수!$A$29:$A$34,0))+INDEX(규칙상수!$D$21:$D$24,MATCH(D10,규칙상수!$A$21:$A$24,0))</f>
        <v>14</v>
      </c>
      <c r="J10" s="13" t="n">
        <f aca="false">H10-I10</f>
        <v>0</v>
      </c>
      <c r="K10" s="13" t="str">
        <f aca="false">IF(J10=0,"적정",IF(J10&gt;0,"초과 +"&amp;J10,"미달 "&amp;J10))</f>
        <v>적정</v>
      </c>
      <c r="L10" s="13" t="n">
        <f aca="false">ROUND(H10/C10,1)</f>
        <v>4.7</v>
      </c>
      <c r="M10" s="21" t="s">
        <v>85</v>
      </c>
    </row>
    <row r="11" customFormat="false" ht="15" hidden="false" customHeight="false" outlineLevel="0" collapsed="false">
      <c r="A11" s="13" t="s">
        <v>86</v>
      </c>
      <c r="B11" s="17" t="s">
        <v>87</v>
      </c>
      <c r="C11" s="5" t="n">
        <v>3</v>
      </c>
      <c r="D11" s="20" t="s">
        <v>31</v>
      </c>
      <c r="E11" s="5" t="n">
        <v>4</v>
      </c>
      <c r="F11" s="5" t="n">
        <v>4</v>
      </c>
      <c r="G11" s="5" t="n">
        <v>2</v>
      </c>
      <c r="H11" s="13" t="n">
        <f aca="false">E11*INDEX(규칙상수!$B$21:$B$24,MATCH(D11,규칙상수!$A$21:$A$24,0))+F11*INDEX(규칙상수!$C$21:$C$24,MATCH(D11,규칙상수!$A$21:$A$24,0))</f>
        <v>12</v>
      </c>
      <c r="I11" s="13" t="n">
        <f aca="false">INDEX(규칙상수!$B$29:$B$34,MATCH(C11,규칙상수!$A$29:$A$34,0))+INDEX(규칙상수!$D$21:$D$24,MATCH(D11,규칙상수!$A$21:$A$24,0))</f>
        <v>12</v>
      </c>
      <c r="J11" s="13" t="n">
        <f aca="false">H11-I11</f>
        <v>0</v>
      </c>
      <c r="K11" s="13" t="str">
        <f aca="false">IF(J11=0,"적정",IF(J11&gt;0,"초과 +"&amp;J11,"미달 "&amp;J11))</f>
        <v>적정</v>
      </c>
      <c r="L11" s="13" t="n">
        <f aca="false">ROUND(H11/C11,1)</f>
        <v>4</v>
      </c>
      <c r="M11" s="19" t="s">
        <v>88</v>
      </c>
    </row>
    <row r="12" customFormat="false" ht="15" hidden="false" customHeight="false" outlineLevel="0" collapsed="false">
      <c r="A12" s="13" t="s">
        <v>89</v>
      </c>
      <c r="B12" s="17" t="s">
        <v>90</v>
      </c>
      <c r="C12" s="5" t="n">
        <v>3</v>
      </c>
      <c r="D12" s="22" t="s">
        <v>35</v>
      </c>
      <c r="E12" s="5" t="n">
        <v>2</v>
      </c>
      <c r="F12" s="5" t="n">
        <v>4</v>
      </c>
      <c r="G12" s="5" t="n">
        <v>1</v>
      </c>
      <c r="H12" s="13" t="n">
        <f aca="false">E12*INDEX(규칙상수!$B$21:$B$24,MATCH(D12,규칙상수!$A$21:$A$24,0))+F12*INDEX(규칙상수!$C$21:$C$24,MATCH(D12,규칙상수!$A$21:$A$24,0))</f>
        <v>12</v>
      </c>
      <c r="I12" s="13" t="n">
        <f aca="false">INDEX(규칙상수!$B$29:$B$34,MATCH(C12,규칙상수!$A$29:$A$34,0))+INDEX(규칙상수!$D$21:$D$24,MATCH(D12,규칙상수!$A$21:$A$24,0))</f>
        <v>12</v>
      </c>
      <c r="J12" s="13" t="n">
        <f aca="false">H12-I12</f>
        <v>0</v>
      </c>
      <c r="K12" s="13" t="str">
        <f aca="false">IF(J12=0,"적정",IF(J12&gt;0,"초과 +"&amp;J12,"미달 "&amp;J12))</f>
        <v>적정</v>
      </c>
      <c r="L12" s="13" t="n">
        <f aca="false">ROUND(H12/C12,1)</f>
        <v>4</v>
      </c>
      <c r="M12" s="21" t="s">
        <v>91</v>
      </c>
    </row>
    <row r="13" customFormat="false" ht="15" hidden="false" customHeight="false" outlineLevel="0" collapsed="false">
      <c r="A13" s="13" t="s">
        <v>92</v>
      </c>
      <c r="B13" s="17" t="s">
        <v>93</v>
      </c>
      <c r="C13" s="5" t="n">
        <v>4</v>
      </c>
      <c r="D13" s="20" t="s">
        <v>31</v>
      </c>
      <c r="E13" s="5" t="n">
        <v>6</v>
      </c>
      <c r="F13" s="5" t="n">
        <v>6</v>
      </c>
      <c r="G13" s="5" t="n">
        <v>1</v>
      </c>
      <c r="H13" s="13" t="n">
        <f aca="false">E13*INDEX(규칙상수!$B$21:$B$24,MATCH(D13,규칙상수!$A$21:$A$24,0))+F13*INDEX(규칙상수!$C$21:$C$24,MATCH(D13,규칙상수!$A$21:$A$24,0))</f>
        <v>18</v>
      </c>
      <c r="I13" s="13" t="n">
        <f aca="false">INDEX(규칙상수!$B$29:$B$34,MATCH(C13,규칙상수!$A$29:$A$34,0))+INDEX(규칙상수!$D$21:$D$24,MATCH(D13,규칙상수!$A$21:$A$24,0))</f>
        <v>18</v>
      </c>
      <c r="J13" s="13" t="n">
        <f aca="false">H13-I13</f>
        <v>0</v>
      </c>
      <c r="K13" s="13" t="str">
        <f aca="false">IF(J13=0,"적정",IF(J13&gt;0,"초과 +"&amp;J13,"미달 "&amp;J13))</f>
        <v>적정</v>
      </c>
      <c r="L13" s="13" t="n">
        <f aca="false">ROUND(H13/C13,1)</f>
        <v>4.5</v>
      </c>
      <c r="M13" s="21" t="s">
        <v>94</v>
      </c>
    </row>
    <row r="14" customFormat="false" ht="15" hidden="false" customHeight="false" outlineLevel="0" collapsed="false">
      <c r="A14" s="13" t="s">
        <v>95</v>
      </c>
      <c r="B14" s="17" t="s">
        <v>96</v>
      </c>
      <c r="C14" s="5" t="n">
        <v>4</v>
      </c>
      <c r="D14" s="22" t="s">
        <v>35</v>
      </c>
      <c r="E14" s="5" t="n">
        <v>4</v>
      </c>
      <c r="F14" s="5" t="n">
        <v>2</v>
      </c>
      <c r="G14" s="5" t="n">
        <v>1</v>
      </c>
      <c r="H14" s="13" t="n">
        <f aca="false">E14*INDEX(규칙상수!$B$21:$B$24,MATCH(D14,규칙상수!$A$21:$A$24,0))+F14*INDEX(규칙상수!$C$21:$C$24,MATCH(D14,규칙상수!$A$21:$A$24,0))</f>
        <v>18</v>
      </c>
      <c r="I14" s="13" t="n">
        <f aca="false">INDEX(규칙상수!$B$29:$B$34,MATCH(C14,규칙상수!$A$29:$A$34,0))+INDEX(규칙상수!$D$21:$D$24,MATCH(D14,규칙상수!$A$21:$A$24,0))</f>
        <v>18</v>
      </c>
      <c r="J14" s="13" t="n">
        <f aca="false">H14-I14</f>
        <v>0</v>
      </c>
      <c r="K14" s="13" t="str">
        <f aca="false">IF(J14=0,"적정",IF(J14&gt;0,"초과 +"&amp;J14,"미달 "&amp;J14))</f>
        <v>적정</v>
      </c>
      <c r="L14" s="13" t="n">
        <f aca="false">ROUND(H14/C14,1)</f>
        <v>4.5</v>
      </c>
      <c r="M14" s="21" t="s">
        <v>97</v>
      </c>
    </row>
    <row r="15" customFormat="false" ht="15" hidden="false" customHeight="false" outlineLevel="0" collapsed="false">
      <c r="A15" s="13" t="s">
        <v>98</v>
      </c>
      <c r="B15" s="17" t="s">
        <v>99</v>
      </c>
      <c r="C15" s="5" t="n">
        <v>5</v>
      </c>
      <c r="D15" s="20" t="s">
        <v>31</v>
      </c>
      <c r="E15" s="5" t="n">
        <v>8</v>
      </c>
      <c r="F15" s="5" t="n">
        <v>8</v>
      </c>
      <c r="G15" s="5" t="n">
        <v>1</v>
      </c>
      <c r="H15" s="13" t="n">
        <f aca="false">E15*INDEX(규칙상수!$B$21:$B$24,MATCH(D15,규칙상수!$A$21:$A$24,0))+F15*INDEX(규칙상수!$C$21:$C$24,MATCH(D15,규칙상수!$A$21:$A$24,0))</f>
        <v>24</v>
      </c>
      <c r="I15" s="13" t="n">
        <f aca="false">INDEX(규칙상수!$B$29:$B$34,MATCH(C15,규칙상수!$A$29:$A$34,0))+INDEX(규칙상수!$D$21:$D$24,MATCH(D15,규칙상수!$A$21:$A$24,0))</f>
        <v>24</v>
      </c>
      <c r="J15" s="13" t="n">
        <f aca="false">H15-I15</f>
        <v>0</v>
      </c>
      <c r="K15" s="13" t="str">
        <f aca="false">IF(J15=0,"적정",IF(J15&gt;0,"초과 +"&amp;J15,"미달 "&amp;J15))</f>
        <v>적정</v>
      </c>
      <c r="L15" s="13" t="n">
        <f aca="false">ROUND(H15/C15,1)</f>
        <v>4.8</v>
      </c>
      <c r="M15" s="19" t="s">
        <v>100</v>
      </c>
    </row>
    <row r="16" customFormat="false" ht="15" hidden="false" customHeight="false" outlineLevel="0" collapsed="false">
      <c r="A16" s="13" t="s">
        <v>101</v>
      </c>
      <c r="B16" s="17" t="s">
        <v>102</v>
      </c>
      <c r="C16" s="5" t="n">
        <v>6</v>
      </c>
      <c r="D16" s="20" t="s">
        <v>31</v>
      </c>
      <c r="E16" s="5" t="n">
        <v>11</v>
      </c>
      <c r="F16" s="5" t="n">
        <v>10</v>
      </c>
      <c r="G16" s="5" t="n">
        <v>1</v>
      </c>
      <c r="H16" s="13" t="n">
        <f aca="false">E16*INDEX(규칙상수!$B$21:$B$24,MATCH(D16,규칙상수!$A$21:$A$24,0))+F16*INDEX(규칙상수!$C$21:$C$24,MATCH(D16,규칙상수!$A$21:$A$24,0))</f>
        <v>32</v>
      </c>
      <c r="I16" s="13" t="n">
        <f aca="false">INDEX(규칙상수!$B$29:$B$34,MATCH(C16,규칙상수!$A$29:$A$34,0))+INDEX(규칙상수!$D$21:$D$24,MATCH(D16,규칙상수!$A$21:$A$24,0))</f>
        <v>32</v>
      </c>
      <c r="J16" s="13" t="n">
        <f aca="false">H16-I16</f>
        <v>0</v>
      </c>
      <c r="K16" s="13" t="str">
        <f aca="false">IF(J16=0,"적정",IF(J16&gt;0,"초과 +"&amp;J16,"미달 "&amp;J16))</f>
        <v>적정</v>
      </c>
      <c r="L16" s="13" t="n">
        <f aca="false">ROUND(H16/C16,1)</f>
        <v>5.3</v>
      </c>
      <c r="M16" s="21" t="s">
        <v>103</v>
      </c>
    </row>
    <row r="17" customFormat="false" ht="15" hidden="false" customHeight="false" outlineLevel="0" collapsed="false">
      <c r="A17" s="23"/>
      <c r="B17" s="24" t="s">
        <v>104</v>
      </c>
      <c r="C17" s="23"/>
      <c r="D17" s="23"/>
      <c r="E17" s="23"/>
      <c r="F17" s="23"/>
      <c r="G17" s="24" t="n">
        <f aca="false">SUM(G5:G16)</f>
        <v>20</v>
      </c>
      <c r="H17" s="23"/>
      <c r="I17" s="23"/>
      <c r="J17" s="23"/>
      <c r="K17" s="24" t="str">
        <f aca="false">COUNTIF(K5:K16,"적정")&amp;" / 12 적정"</f>
        <v>12 / 12 적정</v>
      </c>
      <c r="L17" s="23"/>
      <c r="M17" s="23"/>
    </row>
    <row r="19" customFormat="false" ht="15" hidden="false" customHeight="false" outlineLevel="0" collapsed="false">
      <c r="B19" s="4" t="s">
        <v>105</v>
      </c>
      <c r="C19" s="25" t="n">
        <f aca="false">ROUND(SUMIF($D$5:$D$16,"수호",$G$5:$G$16)/SUM($G$5:$G$16),3)</f>
        <v>0.4</v>
      </c>
      <c r="D19" s="2" t="s">
        <v>106</v>
      </c>
    </row>
    <row r="20" customFormat="false" ht="15" hidden="false" customHeight="false" outlineLevel="0" collapsed="false">
      <c r="B20" s="4" t="s">
        <v>107</v>
      </c>
      <c r="C20" s="25" t="n">
        <f aca="false">ROUND(SUMIF($D$5:$D$16,"비행",$G$5:$G$16)/SUM($G$5:$G$16),3)</f>
        <v>0.2</v>
      </c>
      <c r="D20" s="2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12"/>
    <col collapsed="false" customWidth="true" hidden="false" outlineLevel="0" max="10" min="10" style="0" width="40"/>
  </cols>
  <sheetData>
    <row r="1" customFormat="false" ht="16.15" hidden="false" customHeight="false" outlineLevel="0" collapsed="false">
      <c r="A1" s="16" t="s">
        <v>109</v>
      </c>
    </row>
    <row r="2" customFormat="false" ht="15" hidden="false" customHeight="false" outlineLevel="0" collapsed="false">
      <c r="A2" s="2" t="s">
        <v>110</v>
      </c>
    </row>
    <row r="4" customFormat="false" ht="15" hidden="false" customHeight="false" outlineLevel="0" collapsed="false">
      <c r="A4" s="10" t="s">
        <v>58</v>
      </c>
      <c r="B4" s="9" t="s">
        <v>59</v>
      </c>
      <c r="C4" s="9" t="s">
        <v>40</v>
      </c>
      <c r="D4" s="9" t="s">
        <v>111</v>
      </c>
      <c r="E4" s="9" t="s">
        <v>112</v>
      </c>
      <c r="F4" s="9" t="s">
        <v>62</v>
      </c>
      <c r="G4" s="9" t="s">
        <v>113</v>
      </c>
      <c r="H4" s="9" t="s">
        <v>65</v>
      </c>
      <c r="I4" s="9" t="s">
        <v>66</v>
      </c>
      <c r="J4" s="9" t="s">
        <v>67</v>
      </c>
    </row>
    <row r="5" customFormat="false" ht="15" hidden="false" customHeight="false" outlineLevel="0" collapsed="false">
      <c r="A5" s="13" t="s">
        <v>114</v>
      </c>
      <c r="B5" s="17" t="s">
        <v>115</v>
      </c>
      <c r="C5" s="5" t="n">
        <v>1</v>
      </c>
      <c r="D5" s="20" t="s">
        <v>116</v>
      </c>
      <c r="E5" s="5" t="n">
        <v>2</v>
      </c>
      <c r="F5" s="5" t="n">
        <v>2</v>
      </c>
      <c r="G5" s="13" t="n">
        <f aca="false">IF(D5="단일",INDEX(규칙상수!$B$40:$B$45,MATCH(C5,규칙상수!$A$40:$A$45,0)),IF(D5="광역",INDEX(규칙상수!$C$40:$C$45,MATCH(C5,규칙상수!$A$40:$A$45,0)),INDEX(규칙상수!$D$40:$D$45,MATCH(C5,규칙상수!$A$40:$A$45,0))))</f>
        <v>2</v>
      </c>
      <c r="H5" s="13" t="n">
        <f aca="false">E5-G5</f>
        <v>0</v>
      </c>
      <c r="I5" s="13" t="str">
        <f aca="false">IF(H5=0,"적정",IF(H5&gt;0,"초과 +"&amp;H5,"미달 "&amp;H5))</f>
        <v>적정</v>
      </c>
      <c r="J5" s="19" t="s">
        <v>117</v>
      </c>
    </row>
    <row r="6" customFormat="false" ht="15" hidden="false" customHeight="false" outlineLevel="0" collapsed="false">
      <c r="A6" s="13" t="s">
        <v>118</v>
      </c>
      <c r="B6" s="17" t="s">
        <v>119</v>
      </c>
      <c r="C6" s="5" t="n">
        <v>2</v>
      </c>
      <c r="D6" s="20" t="s">
        <v>116</v>
      </c>
      <c r="E6" s="5" t="n">
        <v>4</v>
      </c>
      <c r="F6" s="5" t="n">
        <v>2</v>
      </c>
      <c r="G6" s="13" t="n">
        <f aca="false">IF(D6="단일",INDEX(규칙상수!$B$40:$B$45,MATCH(C6,규칙상수!$A$40:$A$45,0)),IF(D6="광역",INDEX(규칙상수!$C$40:$C$45,MATCH(C6,규칙상수!$A$40:$A$45,0)),INDEX(규칙상수!$D$40:$D$45,MATCH(C6,규칙상수!$A$40:$A$45,0))))</f>
        <v>4</v>
      </c>
      <c r="H6" s="13" t="n">
        <f aca="false">E6-G6</f>
        <v>0</v>
      </c>
      <c r="I6" s="13" t="str">
        <f aca="false">IF(H6=0,"적정",IF(H6&gt;0,"초과 +"&amp;H6,"미달 "&amp;H6))</f>
        <v>적정</v>
      </c>
      <c r="J6" s="19" t="s">
        <v>120</v>
      </c>
    </row>
    <row r="7" customFormat="false" ht="15" hidden="false" customHeight="false" outlineLevel="0" collapsed="false">
      <c r="A7" s="13" t="s">
        <v>121</v>
      </c>
      <c r="B7" s="17" t="s">
        <v>122</v>
      </c>
      <c r="C7" s="5" t="n">
        <v>3</v>
      </c>
      <c r="D7" s="20" t="s">
        <v>116</v>
      </c>
      <c r="E7" s="5" t="n">
        <v>6</v>
      </c>
      <c r="F7" s="5" t="n">
        <v>2</v>
      </c>
      <c r="G7" s="13" t="n">
        <f aca="false">IF(D7="단일",INDEX(규칙상수!$B$40:$B$45,MATCH(C7,규칙상수!$A$40:$A$45,0)),IF(D7="광역",INDEX(규칙상수!$C$40:$C$45,MATCH(C7,규칙상수!$A$40:$A$45,0)),INDEX(규칙상수!$D$40:$D$45,MATCH(C7,규칙상수!$A$40:$A$45,0))))</f>
        <v>6</v>
      </c>
      <c r="H7" s="13" t="n">
        <f aca="false">E7-G7</f>
        <v>0</v>
      </c>
      <c r="I7" s="13" t="str">
        <f aca="false">IF(H7=0,"적정",IF(H7&gt;0,"초과 +"&amp;H7,"미달 "&amp;H7))</f>
        <v>적정</v>
      </c>
      <c r="J7" s="19" t="s">
        <v>123</v>
      </c>
    </row>
    <row r="8" customFormat="false" ht="15" hidden="false" customHeight="false" outlineLevel="0" collapsed="false">
      <c r="A8" s="13" t="s">
        <v>124</v>
      </c>
      <c r="B8" s="17" t="s">
        <v>125</v>
      </c>
      <c r="C8" s="5" t="n">
        <v>4</v>
      </c>
      <c r="D8" s="20" t="s">
        <v>52</v>
      </c>
      <c r="E8" s="5" t="n">
        <v>5</v>
      </c>
      <c r="F8" s="5" t="n">
        <v>1</v>
      </c>
      <c r="G8" s="13" t="n">
        <f aca="false">IF(D8="단일",INDEX(규칙상수!$B$40:$B$45,MATCH(C8,규칙상수!$A$40:$A$45,0)),IF(D8="광역",INDEX(규칙상수!$C$40:$C$45,MATCH(C8,규칙상수!$A$40:$A$45,0)),INDEX(규칙상수!$D$40:$D$45,MATCH(C8,규칙상수!$A$40:$A$45,0))))</f>
        <v>5</v>
      </c>
      <c r="H8" s="13" t="n">
        <f aca="false">E8-G8</f>
        <v>0</v>
      </c>
      <c r="I8" s="13" t="str">
        <f aca="false">IF(H8=0,"적정",IF(H8&gt;0,"초과 +"&amp;H8,"미달 "&amp;H8))</f>
        <v>적정</v>
      </c>
      <c r="J8" s="21" t="s">
        <v>126</v>
      </c>
    </row>
    <row r="9" customFormat="false" ht="15" hidden="false" customHeight="false" outlineLevel="0" collapsed="false">
      <c r="A9" s="13" t="s">
        <v>127</v>
      </c>
      <c r="B9" s="17" t="s">
        <v>128</v>
      </c>
      <c r="C9" s="5" t="n">
        <v>5</v>
      </c>
      <c r="D9" s="20" t="s">
        <v>116</v>
      </c>
      <c r="E9" s="5" t="n">
        <v>12</v>
      </c>
      <c r="F9" s="5" t="n">
        <v>1</v>
      </c>
      <c r="G9" s="13" t="n">
        <f aca="false">IF(D9="단일",INDEX(규칙상수!$B$40:$B$45,MATCH(C9,규칙상수!$A$40:$A$45,0)),IF(D9="광역",INDEX(규칙상수!$C$40:$C$45,MATCH(C9,규칙상수!$A$40:$A$45,0)),INDEX(규칙상수!$D$40:$D$45,MATCH(C9,규칙상수!$A$40:$A$45,0))))</f>
        <v>12</v>
      </c>
      <c r="H9" s="13" t="n">
        <f aca="false">E9-G9</f>
        <v>0</v>
      </c>
      <c r="I9" s="13" t="str">
        <f aca="false">IF(H9=0,"적정",IF(H9&gt;0,"초과 +"&amp;H9,"미달 "&amp;H9))</f>
        <v>적정</v>
      </c>
      <c r="J9" s="19" t="s">
        <v>129</v>
      </c>
    </row>
    <row r="10" customFormat="false" ht="15" hidden="false" customHeight="false" outlineLevel="0" collapsed="false">
      <c r="A10" s="23"/>
      <c r="B10" s="24" t="s">
        <v>130</v>
      </c>
      <c r="C10" s="23"/>
      <c r="D10" s="23"/>
      <c r="E10" s="23"/>
      <c r="F10" s="24" t="n">
        <f aca="false">SUM(F5:F9)</f>
        <v>8</v>
      </c>
      <c r="G10" s="23"/>
      <c r="H10" s="23"/>
      <c r="I10" s="23"/>
      <c r="J10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8"/>
    <col collapsed="false" customWidth="true" hidden="false" outlineLevel="0" max="12" min="12" style="0" width="12"/>
    <col collapsed="false" customWidth="true" hidden="false" outlineLevel="0" max="13" min="13" style="0" width="34"/>
  </cols>
  <sheetData>
    <row r="1" customFormat="false" ht="16.15" hidden="false" customHeight="false" outlineLevel="0" collapsed="false">
      <c r="A1" s="16" t="s">
        <v>131</v>
      </c>
    </row>
    <row r="2" customFormat="false" ht="15" hidden="false" customHeight="false" outlineLevel="0" collapsed="false">
      <c r="A2" s="2" t="s">
        <v>132</v>
      </c>
    </row>
    <row r="4" customFormat="false" ht="15" hidden="false" customHeight="false" outlineLevel="0" collapsed="false">
      <c r="A4" s="10" t="s">
        <v>58</v>
      </c>
      <c r="B4" s="9" t="s">
        <v>59</v>
      </c>
      <c r="C4" s="9" t="s">
        <v>40</v>
      </c>
      <c r="D4" s="9" t="s">
        <v>133</v>
      </c>
      <c r="E4" s="9" t="s">
        <v>134</v>
      </c>
      <c r="F4" s="9" t="s">
        <v>135</v>
      </c>
      <c r="G4" s="9" t="s">
        <v>136</v>
      </c>
      <c r="H4" s="9" t="s">
        <v>62</v>
      </c>
      <c r="I4" s="9" t="s">
        <v>137</v>
      </c>
      <c r="J4" s="9" t="s">
        <v>138</v>
      </c>
      <c r="K4" s="9" t="s">
        <v>65</v>
      </c>
      <c r="L4" s="9" t="s">
        <v>66</v>
      </c>
      <c r="M4" s="9" t="s">
        <v>139</v>
      </c>
    </row>
    <row r="5" customFormat="false" ht="15" hidden="false" customHeight="false" outlineLevel="0" collapsed="false">
      <c r="A5" s="13" t="s">
        <v>140</v>
      </c>
      <c r="B5" s="17" t="s">
        <v>141</v>
      </c>
      <c r="C5" s="5" t="n">
        <v>3</v>
      </c>
      <c r="D5" s="26" t="s">
        <v>142</v>
      </c>
      <c r="E5" s="5" t="n">
        <v>3</v>
      </c>
      <c r="F5" s="5" t="n">
        <v>5</v>
      </c>
      <c r="G5" s="20" t="s">
        <v>143</v>
      </c>
      <c r="H5" s="5" t="n">
        <v>2</v>
      </c>
      <c r="I5" s="13" t="n">
        <f aca="false">E5*F5</f>
        <v>15</v>
      </c>
      <c r="J5" s="13" t="n">
        <f aca="false">INDEX(규칙상수!$D$29:$D$34,MATCH(C5,규칙상수!$A$29:$A$34,0))</f>
        <v>16</v>
      </c>
      <c r="K5" s="13" t="n">
        <f aca="false">I5-J5</f>
        <v>-1</v>
      </c>
      <c r="L5" s="13" t="str">
        <f aca="false">IF(K5=0,"적정",IF(K5&gt;0,"초과 +"&amp;K5,"미달 "&amp;K5))</f>
        <v>미달 -1</v>
      </c>
      <c r="M5" s="21" t="s">
        <v>144</v>
      </c>
    </row>
    <row r="6" customFormat="false" ht="15" hidden="false" customHeight="false" outlineLevel="0" collapsed="false">
      <c r="A6" s="13" t="s">
        <v>145</v>
      </c>
      <c r="B6" s="17" t="s">
        <v>146</v>
      </c>
      <c r="C6" s="5" t="n">
        <v>4</v>
      </c>
      <c r="D6" s="26" t="s">
        <v>142</v>
      </c>
      <c r="E6" s="5" t="n">
        <v>2</v>
      </c>
      <c r="F6" s="5" t="n">
        <v>5</v>
      </c>
      <c r="G6" s="20" t="s">
        <v>147</v>
      </c>
      <c r="H6" s="5" t="n">
        <v>0</v>
      </c>
      <c r="I6" s="13" t="n">
        <f aca="false">E6*F6</f>
        <v>10</v>
      </c>
      <c r="J6" s="13" t="n">
        <f aca="false">INDEX(규칙상수!$D$29:$D$34,MATCH(C6,규칙상수!$A$29:$A$34,0))</f>
        <v>23</v>
      </c>
      <c r="K6" s="13" t="n">
        <f aca="false">I6-J6</f>
        <v>-13</v>
      </c>
      <c r="L6" s="13" t="str">
        <f aca="false">IF(K6=0,"적정",IF(K6&gt;0,"초과 +"&amp;K6,"미달 "&amp;K6))</f>
        <v>미달 -13</v>
      </c>
      <c r="M6" s="21" t="s">
        <v>148</v>
      </c>
    </row>
    <row r="7" customFormat="false" ht="15" hidden="false" customHeight="false" outlineLevel="0" collapsed="false">
      <c r="A7" s="13" t="s">
        <v>149</v>
      </c>
      <c r="B7" s="17" t="s">
        <v>150</v>
      </c>
      <c r="C7" s="5" t="n">
        <v>2</v>
      </c>
      <c r="D7" s="26" t="s">
        <v>151</v>
      </c>
      <c r="E7" s="5" t="n">
        <v>5</v>
      </c>
      <c r="F7" s="5" t="n">
        <v>2</v>
      </c>
      <c r="G7" s="20" t="s">
        <v>116</v>
      </c>
      <c r="H7" s="5" t="n">
        <v>0</v>
      </c>
      <c r="I7" s="13" t="n">
        <f aca="false">E7*F7</f>
        <v>10</v>
      </c>
      <c r="J7" s="13" t="n">
        <f aca="false">INDEX(규칙상수!$D$29:$D$34,MATCH(C7,규칙상수!$A$29:$A$34,0))</f>
        <v>11</v>
      </c>
      <c r="K7" s="13" t="n">
        <f aca="false">I7-J7</f>
        <v>-1</v>
      </c>
      <c r="L7" s="13" t="str">
        <f aca="false">IF(K7=0,"적정",IF(K7&gt;0,"초과 +"&amp;K7,"미달 "&amp;K7))</f>
        <v>미달 -1</v>
      </c>
      <c r="M7" s="21" t="s">
        <v>152</v>
      </c>
    </row>
    <row r="8" customFormat="false" ht="15" hidden="false" customHeight="false" outlineLevel="0" collapsed="false">
      <c r="A8" s="23"/>
      <c r="B8" s="24" t="s">
        <v>130</v>
      </c>
      <c r="C8" s="23"/>
      <c r="D8" s="23"/>
      <c r="E8" s="23"/>
      <c r="F8" s="23"/>
      <c r="G8" s="23"/>
      <c r="H8" s="24" t="n">
        <f aca="false">SUM(H5:H7)</f>
        <v>2</v>
      </c>
      <c r="I8" s="23"/>
      <c r="J8" s="23"/>
      <c r="K8" s="23"/>
      <c r="L8" s="23"/>
      <c r="M8" s="23"/>
    </row>
    <row r="10" customFormat="false" ht="15" hidden="false" customHeight="false" outlineLevel="0" collapsed="false">
      <c r="A10" s="3" t="s">
        <v>153</v>
      </c>
    </row>
    <row r="11" customFormat="false" ht="15" hidden="false" customHeight="false" outlineLevel="0" collapsed="false">
      <c r="A11" s="4" t="s">
        <v>142</v>
      </c>
      <c r="B11" s="2" t="s">
        <v>154</v>
      </c>
    </row>
    <row r="12" customFormat="false" ht="15" hidden="false" customHeight="false" outlineLevel="0" collapsed="false">
      <c r="A12" s="4" t="s">
        <v>155</v>
      </c>
      <c r="B12" s="2" t="s">
        <v>156</v>
      </c>
    </row>
    <row r="13" customFormat="false" ht="15" hidden="false" customHeight="false" outlineLevel="0" collapsed="false">
      <c r="A13" s="4" t="s">
        <v>151</v>
      </c>
      <c r="B13" s="2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46"/>
  </cols>
  <sheetData>
    <row r="1" customFormat="false" ht="16.15" hidden="false" customHeight="false" outlineLevel="0" collapsed="false">
      <c r="A1" s="16" t="s">
        <v>158</v>
      </c>
    </row>
    <row r="2" customFormat="false" ht="15" hidden="false" customHeight="false" outlineLevel="0" collapsed="false">
      <c r="A2" s="2" t="s">
        <v>159</v>
      </c>
    </row>
    <row r="4" customFormat="false" ht="15" hidden="false" customHeight="false" outlineLevel="0" collapsed="false">
      <c r="A4" s="4" t="s">
        <v>160</v>
      </c>
      <c r="B4" s="13" t="n">
        <f aca="false">SUM(크리처!G5:G16)</f>
        <v>20</v>
      </c>
      <c r="C4" s="2" t="s">
        <v>161</v>
      </c>
    </row>
    <row r="5" customFormat="false" ht="15" hidden="false" customHeight="false" outlineLevel="0" collapsed="false">
      <c r="A5" s="4" t="s">
        <v>162</v>
      </c>
      <c r="B5" s="13" t="n">
        <f aca="false">SUM(스펠!F5:F9)</f>
        <v>8</v>
      </c>
      <c r="C5" s="2"/>
    </row>
    <row r="6" customFormat="false" ht="15" hidden="false" customHeight="false" outlineLevel="0" collapsed="false">
      <c r="A6" s="4" t="s">
        <v>163</v>
      </c>
      <c r="B6" s="13" t="n">
        <f aca="false">SUM(인챈트!H5:H7)</f>
        <v>2</v>
      </c>
      <c r="C6" s="2"/>
    </row>
    <row r="7" customFormat="false" ht="15" hidden="false" customHeight="false" outlineLevel="0" collapsed="false">
      <c r="A7" s="3" t="s">
        <v>164</v>
      </c>
      <c r="B7" s="13" t="n">
        <f aca="false">B4+B5+B6</f>
        <v>30</v>
      </c>
      <c r="C7" s="2" t="s">
        <v>165</v>
      </c>
    </row>
    <row r="8" customFormat="false" ht="15" hidden="false" customHeight="false" outlineLevel="0" collapsed="false">
      <c r="A8" s="4" t="s">
        <v>166</v>
      </c>
      <c r="B8" s="13" t="n">
        <f aca="false">규칙상수!B9</f>
        <v>30</v>
      </c>
      <c r="C8" s="2" t="s">
        <v>167</v>
      </c>
    </row>
    <row r="9" customFormat="false" ht="15" hidden="false" customHeight="false" outlineLevel="0" collapsed="false">
      <c r="A9" s="3" t="s">
        <v>168</v>
      </c>
      <c r="B9" s="13" t="n">
        <f aca="false">B7-B8</f>
        <v>0</v>
      </c>
      <c r="C9" s="8" t="s">
        <v>169</v>
      </c>
    </row>
    <row r="12" customFormat="false" ht="15" hidden="false" customHeight="false" outlineLevel="0" collapsed="false">
      <c r="A12" s="3" t="s">
        <v>170</v>
      </c>
    </row>
    <row r="13" customFormat="false" ht="15" hidden="false" customHeight="false" outlineLevel="0" collapsed="false">
      <c r="A13" s="4" t="s">
        <v>171</v>
      </c>
      <c r="B13" s="13" t="n">
        <f aca="false">COUNTIF(크리처!K5:K16,"초과*")</f>
        <v>0</v>
      </c>
      <c r="C13" s="8" t="s">
        <v>172</v>
      </c>
    </row>
    <row r="14" customFormat="false" ht="15" hidden="false" customHeight="false" outlineLevel="0" collapsed="false">
      <c r="A14" s="4" t="s">
        <v>173</v>
      </c>
      <c r="B14" s="13" t="n">
        <f aca="false">COUNTIF(크리처!K5:K16,"미달*")</f>
        <v>0</v>
      </c>
      <c r="C14" s="2" t="s">
        <v>174</v>
      </c>
    </row>
    <row r="15" customFormat="false" ht="15" hidden="false" customHeight="false" outlineLevel="0" collapsed="false">
      <c r="A15" s="4" t="s">
        <v>175</v>
      </c>
      <c r="B15" s="13" t="n">
        <f aca="false">COUNTIF(스펠!I5:I9,"초과*")</f>
        <v>0</v>
      </c>
      <c r="C15" s="2"/>
    </row>
    <row r="16" customFormat="false" ht="15" hidden="false" customHeight="false" outlineLevel="0" collapsed="false">
      <c r="A16" s="4" t="s">
        <v>176</v>
      </c>
      <c r="B16" s="13" t="n">
        <f aca="false">COUNTIF(인챈트!L5:L7,"초과*")</f>
        <v>0</v>
      </c>
      <c r="C16" s="2"/>
    </row>
    <row r="19" customFormat="false" ht="15" hidden="false" customHeight="false" outlineLevel="0" collapsed="false">
      <c r="A19" s="3" t="s">
        <v>177</v>
      </c>
    </row>
    <row r="20" customFormat="false" ht="15" hidden="false" customHeight="false" outlineLevel="0" collapsed="false">
      <c r="A20" s="4" t="s">
        <v>178</v>
      </c>
      <c r="B20" s="13" t="n">
        <f aca="false">SUMPRODUCT(크리처!E5:E16,크리처!G5:G16)</f>
        <v>51</v>
      </c>
      <c r="C20" s="2" t="s">
        <v>179</v>
      </c>
    </row>
    <row r="21" customFormat="false" ht="15" hidden="false" customHeight="false" outlineLevel="0" collapsed="false">
      <c r="A21" s="4" t="s">
        <v>3</v>
      </c>
      <c r="B21" s="13" t="n">
        <f aca="false">규칙상수!B5</f>
        <v>60</v>
      </c>
      <c r="C21" s="2" t="s">
        <v>180</v>
      </c>
    </row>
    <row r="24" customFormat="false" ht="15" hidden="false" customHeight="false" outlineLevel="0" collapsed="false">
      <c r="A24" s="3" t="s">
        <v>181</v>
      </c>
    </row>
    <row r="25" customFormat="false" ht="15" hidden="false" customHeight="false" outlineLevel="0" collapsed="false">
      <c r="A25" s="8" t="s">
        <v>182</v>
      </c>
    </row>
    <row r="26" customFormat="false" ht="15" hidden="false" customHeight="false" outlineLevel="0" collapsed="false">
      <c r="A26" s="8" t="s">
        <v>183</v>
      </c>
    </row>
    <row r="27" customFormat="false" ht="15" hidden="false" customHeight="false" outlineLevel="0" collapsed="false">
      <c r="A27" s="8" t="s">
        <v>184</v>
      </c>
    </row>
    <row r="28" customFormat="false" ht="15" hidden="false" customHeight="false" outlineLevel="0" collapsed="false">
      <c r="A28" s="8" t="s">
        <v>185</v>
      </c>
    </row>
    <row r="29" customFormat="false" ht="15" hidden="false" customHeight="false" outlineLevel="0" collapsed="false">
      <c r="A29" s="8" t="s">
        <v>186</v>
      </c>
    </row>
    <row r="32" customFormat="false" ht="15" hidden="false" customHeight="false" outlineLevel="0" collapsed="false">
      <c r="A32" s="3" t="s">
        <v>187</v>
      </c>
    </row>
    <row r="33" customFormat="false" ht="15" hidden="false" customHeight="false" outlineLevel="0" collapsed="false">
      <c r="A33" s="27" t="s">
        <v>188</v>
      </c>
      <c r="B33" s="2" t="s">
        <v>189</v>
      </c>
    </row>
    <row r="34" customFormat="false" ht="15" hidden="false" customHeight="false" outlineLevel="0" collapsed="false">
      <c r="A34" s="4" t="s">
        <v>190</v>
      </c>
      <c r="B34" s="2" t="s">
        <v>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2026-07-31T09:38:26Z</dcterms:created>
  <dc:creator>openpyxl</dc:creator>
  <dc:description/>
  <dc:language>en-US</dc:language>
  <cp:lastModifiedBy/>
  <dcterms:modified xsi:type="dcterms:W3CDTF">2026-07-31T09:38:26Z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